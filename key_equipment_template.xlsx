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600" windowHeight="6435"/>
  </bookViews>
  <sheets>
    <sheet name="01" sheetId="5" r:id="rId1"/>
    <sheet name="ابراهیمی" sheetId="1" state="hidden" r:id="rId2"/>
    <sheet name="تجهیزات کلیدی بر اساس کارنامه" sheetId="2" r:id="rId3"/>
  </sheets>
  <definedNames>
    <definedName name="_xlnm._FilterDatabase" localSheetId="0" hidden="1">'01'!$B$5:$AH$90</definedName>
  </definedNames>
  <calcPr calcId="145621"/>
</workbook>
</file>

<file path=xl/calcChain.xml><?xml version="1.0" encoding="utf-8"?>
<calcChain xmlns="http://schemas.openxmlformats.org/spreadsheetml/2006/main">
  <c r="AG121" i="5" l="1"/>
  <c r="AH121" i="5" s="1"/>
  <c r="AG120" i="5"/>
  <c r="AH120" i="5" s="1"/>
  <c r="AH9" i="5" l="1"/>
  <c r="AG119" i="5"/>
  <c r="AH119" i="5" s="1"/>
  <c r="AG97" i="5"/>
  <c r="AH97" i="5"/>
  <c r="AG98" i="5"/>
  <c r="AH98" i="5" s="1"/>
  <c r="AG99" i="5"/>
  <c r="AH99" i="5"/>
  <c r="AG100" i="5"/>
  <c r="AH100" i="5" s="1"/>
  <c r="AG101" i="5"/>
  <c r="AH101" i="5" s="1"/>
  <c r="AG102" i="5"/>
  <c r="AH102" i="5" s="1"/>
  <c r="AG103" i="5"/>
  <c r="AH103" i="5" s="1"/>
  <c r="AG104" i="5"/>
  <c r="AH104" i="5" s="1"/>
  <c r="AG105" i="5"/>
  <c r="AH105" i="5" s="1"/>
  <c r="AG106" i="5"/>
  <c r="AH106" i="5" s="1"/>
  <c r="AG107" i="5"/>
  <c r="AH107" i="5"/>
  <c r="AG108" i="5"/>
  <c r="AH108" i="5" s="1"/>
  <c r="AG109" i="5"/>
  <c r="AH109" i="5"/>
  <c r="AG110" i="5"/>
  <c r="AH110" i="5" s="1"/>
  <c r="AG111" i="5"/>
  <c r="AH111" i="5" s="1"/>
  <c r="AG112" i="5"/>
  <c r="AH112" i="5" s="1"/>
  <c r="AG113" i="5"/>
  <c r="AH113" i="5" s="1"/>
  <c r="AG114" i="5"/>
  <c r="AH114" i="5" s="1"/>
  <c r="AG115" i="5"/>
  <c r="AH115" i="5" s="1"/>
  <c r="AG116" i="5"/>
  <c r="AH116" i="5" s="1"/>
  <c r="AG117" i="5"/>
  <c r="AH117" i="5"/>
  <c r="AG118" i="5"/>
  <c r="AH118" i="5" s="1"/>
  <c r="AG91" i="5"/>
  <c r="AH91" i="5" s="1"/>
  <c r="AG92" i="5"/>
  <c r="AH92" i="5" s="1"/>
  <c r="AG93" i="5"/>
  <c r="AH93" i="5" s="1"/>
  <c r="AG94" i="5"/>
  <c r="AH94" i="5" s="1"/>
  <c r="AG95" i="5"/>
  <c r="AH95" i="5" s="1"/>
  <c r="AG96" i="5"/>
  <c r="AH96" i="5" s="1"/>
  <c r="AG54" i="5" l="1"/>
  <c r="AG84" i="5"/>
  <c r="AH84" i="5" s="1"/>
  <c r="AG85" i="5"/>
  <c r="AH85" i="5" s="1"/>
  <c r="AG86" i="5"/>
  <c r="AH86" i="5" s="1"/>
  <c r="AG87" i="5"/>
  <c r="AH87" i="5" s="1"/>
  <c r="AG88" i="5"/>
  <c r="AH88" i="5" s="1"/>
  <c r="AG89" i="5"/>
  <c r="AH89" i="5" s="1"/>
  <c r="AG90" i="5"/>
  <c r="AH90" i="5" s="1"/>
  <c r="AG9" i="5" l="1"/>
  <c r="AG11" i="5" l="1"/>
  <c r="AH11" i="5" s="1"/>
  <c r="AG12" i="5"/>
  <c r="AH12" i="5" s="1"/>
  <c r="AG13" i="5"/>
  <c r="AH13" i="5" s="1"/>
  <c r="AG14" i="5"/>
  <c r="AH14" i="5" s="1"/>
  <c r="AG15" i="5"/>
  <c r="AH15" i="5" s="1"/>
  <c r="AG16" i="5"/>
  <c r="AH16" i="5" s="1"/>
  <c r="AG17" i="5"/>
  <c r="AH17" i="5" s="1"/>
  <c r="AG18" i="5"/>
  <c r="AH18" i="5" s="1"/>
  <c r="AG19" i="5"/>
  <c r="AH19" i="5" s="1"/>
  <c r="AG20" i="5"/>
  <c r="AH20" i="5" s="1"/>
  <c r="AG21" i="5"/>
  <c r="AH21" i="5" s="1"/>
  <c r="AG22" i="5"/>
  <c r="AH22" i="5" s="1"/>
  <c r="AG23" i="5"/>
  <c r="AH23" i="5" s="1"/>
  <c r="AG24" i="5"/>
  <c r="AH24" i="5" s="1"/>
  <c r="AG25" i="5"/>
  <c r="AH25" i="5" s="1"/>
  <c r="AG26" i="5"/>
  <c r="AH26" i="5" s="1"/>
  <c r="AG27" i="5"/>
  <c r="AH27" i="5" s="1"/>
  <c r="AG28" i="5"/>
  <c r="AH28" i="5" s="1"/>
  <c r="AG29" i="5"/>
  <c r="AH29" i="5" s="1"/>
  <c r="AG30" i="5"/>
  <c r="AH30" i="5" s="1"/>
  <c r="AG31" i="5"/>
  <c r="AH31" i="5" s="1"/>
  <c r="AG32" i="5"/>
  <c r="AH32" i="5" s="1"/>
  <c r="AG33" i="5"/>
  <c r="AH33" i="5" s="1"/>
  <c r="AG34" i="5"/>
  <c r="AH34" i="5" s="1"/>
  <c r="AG35" i="5"/>
  <c r="AH35" i="5" s="1"/>
  <c r="AG36" i="5"/>
  <c r="AH36" i="5" s="1"/>
  <c r="AG37" i="5"/>
  <c r="AH37" i="5" s="1"/>
  <c r="AG38" i="5"/>
  <c r="AH38" i="5" s="1"/>
  <c r="AG39" i="5"/>
  <c r="AH39" i="5" s="1"/>
  <c r="AG40" i="5"/>
  <c r="AH40" i="5" s="1"/>
  <c r="AG41" i="5"/>
  <c r="AH41" i="5" s="1"/>
  <c r="AG42" i="5"/>
  <c r="AH42" i="5" s="1"/>
  <c r="AG43" i="5"/>
  <c r="AH43" i="5" s="1"/>
  <c r="AG44" i="5"/>
  <c r="AH44" i="5" s="1"/>
  <c r="AG45" i="5"/>
  <c r="AH45" i="5" s="1"/>
  <c r="AG46" i="5"/>
  <c r="AH46" i="5" s="1"/>
  <c r="AG47" i="5"/>
  <c r="AH47" i="5" s="1"/>
  <c r="AG48" i="5"/>
  <c r="AH48" i="5" s="1"/>
  <c r="AG49" i="5"/>
  <c r="AH49" i="5" s="1"/>
  <c r="AG50" i="5"/>
  <c r="AH50" i="5" s="1"/>
  <c r="AG51" i="5"/>
  <c r="AH51" i="5" s="1"/>
  <c r="AG52" i="5"/>
  <c r="AH52" i="5" s="1"/>
  <c r="AG53" i="5"/>
  <c r="AH53" i="5" s="1"/>
  <c r="AH54" i="5"/>
  <c r="AG55" i="5"/>
  <c r="AH55" i="5" s="1"/>
  <c r="AG56" i="5"/>
  <c r="AH56" i="5" s="1"/>
  <c r="AG57" i="5"/>
  <c r="AH57" i="5" s="1"/>
  <c r="AG58" i="5"/>
  <c r="AH58" i="5" s="1"/>
  <c r="AG59" i="5"/>
  <c r="AH59" i="5" s="1"/>
  <c r="AG60" i="5"/>
  <c r="AH60" i="5" s="1"/>
  <c r="AG61" i="5"/>
  <c r="AH61" i="5" s="1"/>
  <c r="AG62" i="5"/>
  <c r="AH62" i="5" s="1"/>
  <c r="AG63" i="5"/>
  <c r="AH63" i="5" s="1"/>
  <c r="AG64" i="5"/>
  <c r="AH64" i="5" s="1"/>
  <c r="AG65" i="5"/>
  <c r="AH65" i="5" s="1"/>
  <c r="AG66" i="5"/>
  <c r="AH66" i="5" s="1"/>
  <c r="AG67" i="5"/>
  <c r="AH67" i="5" s="1"/>
  <c r="AG68" i="5"/>
  <c r="AH68" i="5" s="1"/>
  <c r="AG69" i="5"/>
  <c r="AH69" i="5" s="1"/>
  <c r="AG70" i="5"/>
  <c r="AH70" i="5" s="1"/>
  <c r="AG71" i="5"/>
  <c r="AH71" i="5" s="1"/>
  <c r="AG72" i="5"/>
  <c r="AH72" i="5" s="1"/>
  <c r="AG73" i="5"/>
  <c r="AH73" i="5" s="1"/>
  <c r="AG74" i="5"/>
  <c r="AH74" i="5" s="1"/>
  <c r="AG75" i="5"/>
  <c r="AH75" i="5" s="1"/>
  <c r="AG76" i="5"/>
  <c r="AH76" i="5" s="1"/>
  <c r="AG77" i="5"/>
  <c r="AH77" i="5" s="1"/>
  <c r="AG78" i="5"/>
  <c r="AH78" i="5" s="1"/>
  <c r="AG79" i="5"/>
  <c r="AH79" i="5" s="1"/>
  <c r="AG80" i="5"/>
  <c r="AH80" i="5" s="1"/>
  <c r="AG81" i="5"/>
  <c r="AH81" i="5" s="1"/>
  <c r="AG82" i="5"/>
  <c r="AH82" i="5" s="1"/>
  <c r="AG83" i="5"/>
  <c r="AH83" i="5" s="1"/>
  <c r="AG10" i="5"/>
  <c r="AH10" i="5" s="1"/>
  <c r="AH7" i="1" l="1"/>
  <c r="AI7" i="1" l="1"/>
</calcChain>
</file>

<file path=xl/comments1.xml><?xml version="1.0" encoding="utf-8"?>
<comments xmlns="http://schemas.openxmlformats.org/spreadsheetml/2006/main">
  <authors>
    <author>User</author>
  </authors>
  <commentList>
    <comment ref="W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نمی فهمم یعنی چی</t>
        </r>
      </text>
    </comment>
  </commentList>
</comments>
</file>

<file path=xl/sharedStrings.xml><?xml version="1.0" encoding="utf-8"?>
<sst xmlns="http://schemas.openxmlformats.org/spreadsheetml/2006/main" count="586" uniqueCount="522">
  <si>
    <t>ردیف</t>
  </si>
  <si>
    <t>نام دستگاه</t>
  </si>
  <si>
    <t>کد دستگاه</t>
  </si>
  <si>
    <t>&gt;2</t>
  </si>
  <si>
    <t>بله</t>
  </si>
  <si>
    <t>خیر</t>
  </si>
  <si>
    <t>&lt;=1</t>
  </si>
  <si>
    <t>&gt;200</t>
  </si>
  <si>
    <t>100-200</t>
  </si>
  <si>
    <t>&lt;100</t>
  </si>
  <si>
    <t>&gt;3سال</t>
  </si>
  <si>
    <t>&lt;=3سال</t>
  </si>
  <si>
    <t>&gt;3</t>
  </si>
  <si>
    <t>2-3</t>
  </si>
  <si>
    <t>&lt;2</t>
  </si>
  <si>
    <t>&lt;=1روز</t>
  </si>
  <si>
    <t>1-3 روز</t>
  </si>
  <si>
    <t xml:space="preserve">&gt;=3روز </t>
  </si>
  <si>
    <t>&gt;250</t>
  </si>
  <si>
    <t>&lt;50</t>
  </si>
  <si>
    <t>امتیاز</t>
  </si>
  <si>
    <t>نوع دستگاه</t>
  </si>
  <si>
    <t>CNC 1</t>
  </si>
  <si>
    <t>CNC 2</t>
  </si>
  <si>
    <t>CNC 3</t>
  </si>
  <si>
    <t>CNC 4</t>
  </si>
  <si>
    <t>CNC 5</t>
  </si>
  <si>
    <t>CNC 6</t>
  </si>
  <si>
    <t>CNC 7</t>
  </si>
  <si>
    <t>CNC 8</t>
  </si>
  <si>
    <t>CNC 9</t>
  </si>
  <si>
    <t>CNC 10</t>
  </si>
  <si>
    <t>CNC 11</t>
  </si>
  <si>
    <t>CNC12</t>
  </si>
  <si>
    <t>CNC13</t>
  </si>
  <si>
    <t>سنگ CNC</t>
  </si>
  <si>
    <t>اینداکشن</t>
  </si>
  <si>
    <t>آندرکات 1</t>
  </si>
  <si>
    <t>آندرکات 2</t>
  </si>
  <si>
    <t>آندرکات 3</t>
  </si>
  <si>
    <t>بالانس 1</t>
  </si>
  <si>
    <t>بالانس 2</t>
  </si>
  <si>
    <t>پولیش 1</t>
  </si>
  <si>
    <t>پولیش 2</t>
  </si>
  <si>
    <t>پولیش 3</t>
  </si>
  <si>
    <t>پولیش 4</t>
  </si>
  <si>
    <t>پولیش 5</t>
  </si>
  <si>
    <t>تراش 1( روس )</t>
  </si>
  <si>
    <t>تراش 2 ( لهستان )</t>
  </si>
  <si>
    <t>حک  1</t>
  </si>
  <si>
    <t>حک 2</t>
  </si>
  <si>
    <t>حک 3</t>
  </si>
  <si>
    <t>حک 4</t>
  </si>
  <si>
    <t>خشک کن باد 1</t>
  </si>
  <si>
    <t>داول 1</t>
  </si>
  <si>
    <t>داول 2</t>
  </si>
  <si>
    <t>داول 3</t>
  </si>
  <si>
    <t>داول 4</t>
  </si>
  <si>
    <t>داول 5</t>
  </si>
  <si>
    <t>دریل ستونی 1</t>
  </si>
  <si>
    <t>دریل ستونی 2</t>
  </si>
  <si>
    <t>دریل ستونی 3</t>
  </si>
  <si>
    <t>دریل ستونی 4</t>
  </si>
  <si>
    <t>دریل ستونی 5</t>
  </si>
  <si>
    <t>دریل ستونی 6</t>
  </si>
  <si>
    <t>دریل ستونی 7</t>
  </si>
  <si>
    <t>دریل ستونی 8</t>
  </si>
  <si>
    <t>دریل ستونی 9</t>
  </si>
  <si>
    <t>سنترینگ 1</t>
  </si>
  <si>
    <t>سنترینگ 2</t>
  </si>
  <si>
    <t>سنترینگ 3</t>
  </si>
  <si>
    <t>سنگ شماره 1</t>
  </si>
  <si>
    <t>سنگ شماره 2</t>
  </si>
  <si>
    <t>سنگ شماره 3</t>
  </si>
  <si>
    <t>سنگ شماره 4</t>
  </si>
  <si>
    <t>سنگ شماره 5</t>
  </si>
  <si>
    <t>سنگ شماره 6</t>
  </si>
  <si>
    <t>سنگ شماره 7</t>
  </si>
  <si>
    <t>سنگ شماره 8</t>
  </si>
  <si>
    <t>سنگ شماره 9</t>
  </si>
  <si>
    <t>سنگ شماره 10</t>
  </si>
  <si>
    <t>سنگ شماره 11</t>
  </si>
  <si>
    <t>سنگ شماره 12</t>
  </si>
  <si>
    <t>سنگ شماره 13</t>
  </si>
  <si>
    <t>سنگ شماره 14</t>
  </si>
  <si>
    <t>سوراخ عمودی 1</t>
  </si>
  <si>
    <t>سوراخ عمودی 2</t>
  </si>
  <si>
    <t>سوراخ عمودی 3</t>
  </si>
  <si>
    <t>سوراخ مورب 1</t>
  </si>
  <si>
    <t>سوراخ مورب 2</t>
  </si>
  <si>
    <t>سوراخ مورب 3</t>
  </si>
  <si>
    <t>سوراخ مورب 4</t>
  </si>
  <si>
    <t>سوراخ مورب 5</t>
  </si>
  <si>
    <t>سوراخ مورب 6</t>
  </si>
  <si>
    <t>فرز  1</t>
  </si>
  <si>
    <t>فرز  2</t>
  </si>
  <si>
    <t>فرز  3</t>
  </si>
  <si>
    <r>
      <t xml:space="preserve">فرز  </t>
    </r>
    <r>
      <rPr>
        <b/>
        <sz val="11"/>
        <color theme="1"/>
        <rFont val="B Nazanin"/>
        <charset val="178"/>
      </rPr>
      <t>4</t>
    </r>
  </si>
  <si>
    <t>فرز  5</t>
  </si>
  <si>
    <t>فرز  6</t>
  </si>
  <si>
    <t>فرز 7</t>
  </si>
  <si>
    <t>کفتراش 1</t>
  </si>
  <si>
    <t>کفتراش 2</t>
  </si>
  <si>
    <t>کفتراش 3</t>
  </si>
  <si>
    <t>کفتراش 4</t>
  </si>
  <si>
    <t>کمپرسور 1</t>
  </si>
  <si>
    <t>کمپرسور 2</t>
  </si>
  <si>
    <t>کمپرسور 3</t>
  </si>
  <si>
    <t>مرکب 1</t>
  </si>
  <si>
    <t>مرکب 2</t>
  </si>
  <si>
    <t>مرکب 3</t>
  </si>
  <si>
    <t>مرکب 4</t>
  </si>
  <si>
    <t>مرکب 5</t>
  </si>
  <si>
    <t>مرکب 6</t>
  </si>
  <si>
    <t>سوراخ فلایویل</t>
  </si>
  <si>
    <t>بالانس 3</t>
  </si>
  <si>
    <t>CNC Schaudt 1</t>
  </si>
  <si>
    <t>CNC Schaudt 2</t>
  </si>
  <si>
    <t>CNC Schaudt 3</t>
  </si>
  <si>
    <t>CNC Schaudt 4</t>
  </si>
  <si>
    <t>CNC Schaudt 5</t>
  </si>
  <si>
    <t>CNC Schaudt 6</t>
  </si>
  <si>
    <t>CNC Junker 1</t>
  </si>
  <si>
    <t>CNC Junker 2</t>
  </si>
  <si>
    <t>CNC Junker 3</t>
  </si>
  <si>
    <t>CNC 12</t>
  </si>
  <si>
    <t>CNC 13</t>
  </si>
  <si>
    <t>پولیش 7</t>
  </si>
  <si>
    <t>سنترینگ4</t>
  </si>
  <si>
    <t>CNC001</t>
  </si>
  <si>
    <t>CNC002</t>
  </si>
  <si>
    <t>CNC003</t>
  </si>
  <si>
    <t>CNC004</t>
  </si>
  <si>
    <t>CNC005</t>
  </si>
  <si>
    <t>CNC006</t>
  </si>
  <si>
    <t>CNC007</t>
  </si>
  <si>
    <t>CNC008</t>
  </si>
  <si>
    <t>CNC009</t>
  </si>
  <si>
    <t>CNC010</t>
  </si>
  <si>
    <t>CNC011</t>
  </si>
  <si>
    <t>CNC012</t>
  </si>
  <si>
    <t>CNC013</t>
  </si>
  <si>
    <t>CNC020</t>
  </si>
  <si>
    <t>IN001</t>
  </si>
  <si>
    <t>AN001</t>
  </si>
  <si>
    <t>AN002</t>
  </si>
  <si>
    <t>AN003</t>
  </si>
  <si>
    <t>BA001</t>
  </si>
  <si>
    <t>BA002</t>
  </si>
  <si>
    <t>P001</t>
  </si>
  <si>
    <t>P002</t>
  </si>
  <si>
    <t>P003</t>
  </si>
  <si>
    <t>P004</t>
  </si>
  <si>
    <t>P005</t>
  </si>
  <si>
    <t>T001</t>
  </si>
  <si>
    <t>T002</t>
  </si>
  <si>
    <t>H001</t>
  </si>
  <si>
    <t>H002</t>
  </si>
  <si>
    <t>H003</t>
  </si>
  <si>
    <t>H004</t>
  </si>
  <si>
    <t>KH001</t>
  </si>
  <si>
    <t>DA001</t>
  </si>
  <si>
    <t>DA002</t>
  </si>
  <si>
    <t>DA003</t>
  </si>
  <si>
    <t>DA004</t>
  </si>
  <si>
    <t>DA005</t>
  </si>
  <si>
    <t>DR001</t>
  </si>
  <si>
    <t>DR002</t>
  </si>
  <si>
    <t>DR003</t>
  </si>
  <si>
    <t>DR004</t>
  </si>
  <si>
    <t>DR005</t>
  </si>
  <si>
    <t>DR006</t>
  </si>
  <si>
    <t>DR007</t>
  </si>
  <si>
    <t>DR008</t>
  </si>
  <si>
    <t>DR009</t>
  </si>
  <si>
    <t>CE001</t>
  </si>
  <si>
    <t>CE002</t>
  </si>
  <si>
    <t>CE003</t>
  </si>
  <si>
    <t>SNG001</t>
  </si>
  <si>
    <t>SNG002</t>
  </si>
  <si>
    <t>SNG003</t>
  </si>
  <si>
    <t>SNG004</t>
  </si>
  <si>
    <t>SNG005</t>
  </si>
  <si>
    <t>SNG006</t>
  </si>
  <si>
    <t>SNG007</t>
  </si>
  <si>
    <t>SNG008</t>
  </si>
  <si>
    <t>SNG009</t>
  </si>
  <si>
    <t>SNG010</t>
  </si>
  <si>
    <t>SNG011</t>
  </si>
  <si>
    <t>SNG012</t>
  </si>
  <si>
    <t>SNG013</t>
  </si>
  <si>
    <t>SNG014</t>
  </si>
  <si>
    <t>SA001</t>
  </si>
  <si>
    <t>SA002</t>
  </si>
  <si>
    <t>SA003</t>
  </si>
  <si>
    <t>SM001</t>
  </si>
  <si>
    <t>SM002</t>
  </si>
  <si>
    <t>SM003</t>
  </si>
  <si>
    <t>SM004</t>
  </si>
  <si>
    <t>SM005</t>
  </si>
  <si>
    <t>SM006</t>
  </si>
  <si>
    <t>FR001</t>
  </si>
  <si>
    <t>FR002</t>
  </si>
  <si>
    <t>FR003</t>
  </si>
  <si>
    <t>FR004</t>
  </si>
  <si>
    <t>FR005</t>
  </si>
  <si>
    <t>FR006</t>
  </si>
  <si>
    <t>FR007</t>
  </si>
  <si>
    <t>KT001</t>
  </si>
  <si>
    <t>KT002</t>
  </si>
  <si>
    <t>KT003</t>
  </si>
  <si>
    <t>KT004</t>
  </si>
  <si>
    <t>CO001</t>
  </si>
  <si>
    <t>CO002</t>
  </si>
  <si>
    <t>CO003</t>
  </si>
  <si>
    <t>MO001</t>
  </si>
  <si>
    <t>MO002</t>
  </si>
  <si>
    <t>MO003</t>
  </si>
  <si>
    <t>MO004</t>
  </si>
  <si>
    <t>MO005</t>
  </si>
  <si>
    <t>MO006</t>
  </si>
  <si>
    <t>SF001</t>
  </si>
  <si>
    <t>BA01</t>
  </si>
  <si>
    <t>BA02</t>
  </si>
  <si>
    <t>BA03</t>
  </si>
  <si>
    <t>CNCS01</t>
  </si>
  <si>
    <t>CNCS02</t>
  </si>
  <si>
    <t>CNCS03</t>
  </si>
  <si>
    <t>CNCS04</t>
  </si>
  <si>
    <t>CNCS05</t>
  </si>
  <si>
    <t>CNCS06</t>
  </si>
  <si>
    <t>CNCJ01</t>
  </si>
  <si>
    <t>CNCJ02</t>
  </si>
  <si>
    <t>CNCJ03</t>
  </si>
  <si>
    <t>CNCJ04</t>
  </si>
  <si>
    <t>P007</t>
  </si>
  <si>
    <t>CE004</t>
  </si>
  <si>
    <t>تعداد ماشین  در سازمان؟
(ضریب=3)</t>
  </si>
  <si>
    <t>تجهیز گلوگاهی است؟
(ضریب=2)</t>
  </si>
  <si>
    <t>تولید چند قطعه متفاوت؟
(ضریب=3)</t>
  </si>
  <si>
    <t>شیفت کاری دستگاه؟
(ضریب=1)</t>
  </si>
  <si>
    <t>امکان تامین قطعه تولید این ماشین از خارج شرکت؟
(ضریب=2)</t>
  </si>
  <si>
    <t>از کار افتادن ماشین با خرابی یک بخش
(ضریب=1)</t>
  </si>
  <si>
    <t>میزان تحمل مشتری در صورت توقف ماشین چقدر است؟
(ضریب=3)</t>
  </si>
  <si>
    <t>تعداد کاهش محصول نهایی در صورت خرابی یک روز
(ضریب=1)</t>
  </si>
  <si>
    <t>چک لیست تعیین ماشین آلات کلیدی، نیمه کلیدی و عادی</t>
  </si>
  <si>
    <t>توقفات بیش از 100 ساعت در سال گذشته
(ضریب=3)</t>
  </si>
  <si>
    <t>شماره بازنگری: 00</t>
  </si>
  <si>
    <t>کد فرم: FM351</t>
  </si>
  <si>
    <t>50-250</t>
  </si>
  <si>
    <t>جمع توقفات یک سال گذشته (ساعت)
(ضریب=3)</t>
  </si>
  <si>
    <t>مدت زمان کارکرد ماشین
(ضریب=1)</t>
  </si>
  <si>
    <t>مثل هم هست</t>
  </si>
  <si>
    <t>توقفات تکراری طی سال گذشته</t>
  </si>
  <si>
    <t>زیاد</t>
  </si>
  <si>
    <t>متوسط</t>
  </si>
  <si>
    <t>کم</t>
  </si>
  <si>
    <t>جمع توقفات یک سال گذشته (ساعت)</t>
  </si>
  <si>
    <t>امکان تامین قطعه تولید این ماشین از خارج شرکت؟</t>
  </si>
  <si>
    <t>تولید چند قطعه متفاوت؟</t>
  </si>
  <si>
    <t xml:space="preserve">تجهیز گلوگاهی است؟
</t>
  </si>
  <si>
    <t xml:space="preserve">تعداد ماشین  در سازمان؟
</t>
  </si>
  <si>
    <t>طرح های اقتضایی</t>
  </si>
  <si>
    <t>تجهيزات تولیدی كليدي و جایگزین</t>
  </si>
  <si>
    <t>رديف</t>
  </si>
  <si>
    <t xml:space="preserve">نام ماشين/ تجهيزات </t>
  </si>
  <si>
    <t xml:space="preserve">كد </t>
  </si>
  <si>
    <t xml:space="preserve">تجهيزات جايگزين </t>
  </si>
  <si>
    <t xml:space="preserve">عمليات پيماني و تامين كننده جايگزين </t>
  </si>
  <si>
    <t>&gt;100</t>
  </si>
  <si>
    <t>50-100</t>
  </si>
  <si>
    <t>قابل دسترس بودن قطعات یدکی در صورت بروز خرابی</t>
  </si>
  <si>
    <t>تاثیر در کیفیت محصول نهایی (مشخصات ویژه)</t>
  </si>
  <si>
    <t>MTBF</t>
  </si>
  <si>
    <t>مدت زمان کارکرد ماشین (سن کاری ماشین)</t>
  </si>
  <si>
    <t>&gt;10سال</t>
  </si>
  <si>
    <t>&lt;=10سال</t>
  </si>
  <si>
    <t>تاثیر در برآوردن سفارش مشتری (تاثير در آمار محصول نهایی)</t>
  </si>
  <si>
    <t>سنگ مگنت (سنگ تخت)</t>
  </si>
  <si>
    <t>SA 01</t>
  </si>
  <si>
    <t>فرز دوسطح شاتون نیسان</t>
  </si>
  <si>
    <t>FR 01</t>
  </si>
  <si>
    <t>فرز اولیه دو سطح شاتون پژو</t>
  </si>
  <si>
    <t>FR 02</t>
  </si>
  <si>
    <t>u دریل پژو</t>
  </si>
  <si>
    <t>UD 01</t>
  </si>
  <si>
    <t>فرز بغل تراش دسته پژو</t>
  </si>
  <si>
    <t>FR 03</t>
  </si>
  <si>
    <t>اره نواری پژو</t>
  </si>
  <si>
    <t>AR 01</t>
  </si>
  <si>
    <t>فرز JF کپه پژو</t>
  </si>
  <si>
    <t>FR 04</t>
  </si>
  <si>
    <t>فرز JF دسته پژو</t>
  </si>
  <si>
    <t>FR 05</t>
  </si>
  <si>
    <t>تراش ماشینکاری اولیه سوراخ بزرگ پژو</t>
  </si>
  <si>
    <t>TR 01</t>
  </si>
  <si>
    <t>فرز نشیمن گاه جای پیچ پژو</t>
  </si>
  <si>
    <t>FR 06</t>
  </si>
  <si>
    <t>فرز نشیمن گاه جای مهره پژو</t>
  </si>
  <si>
    <t>FR 07</t>
  </si>
  <si>
    <t>فرز جای خار پژو</t>
  </si>
  <si>
    <t>FR 08</t>
  </si>
  <si>
    <t>cncشیرون</t>
  </si>
  <si>
    <t>CNC 01</t>
  </si>
  <si>
    <t>cnc دوو</t>
  </si>
  <si>
    <t>CNC 02</t>
  </si>
  <si>
    <t>cnc موریساکی</t>
  </si>
  <si>
    <t>CNC 03</t>
  </si>
  <si>
    <t>CNC 04</t>
  </si>
  <si>
    <t>cnc سنگ دبل</t>
  </si>
  <si>
    <t>CNC 05</t>
  </si>
  <si>
    <t>تراش ماشینکاری اولیه سوراخ بزرگ پراید</t>
  </si>
  <si>
    <t>TR 02</t>
  </si>
  <si>
    <t>فرز JF وبغل تراش کپه پراید</t>
  </si>
  <si>
    <t>FR 09</t>
  </si>
  <si>
    <t>فرز JF وبغل تراش دسته پراید</t>
  </si>
  <si>
    <t>FR 10</t>
  </si>
  <si>
    <t>ترک متر</t>
  </si>
  <si>
    <t>TM 01</t>
  </si>
  <si>
    <t>پرس پیچ</t>
  </si>
  <si>
    <t>PR 01</t>
  </si>
  <si>
    <t>u دریل نیسان</t>
  </si>
  <si>
    <t>UD 02</t>
  </si>
  <si>
    <t>اره نواری نیسان</t>
  </si>
  <si>
    <t>AR 02</t>
  </si>
  <si>
    <t>بغل تراش کپه نیسان</t>
  </si>
  <si>
    <t>FR 11</t>
  </si>
  <si>
    <t>فرز JF کپه نیسان</t>
  </si>
  <si>
    <t>FR 12</t>
  </si>
  <si>
    <t>بغل تراش دسته نیسان</t>
  </si>
  <si>
    <t>FR 13</t>
  </si>
  <si>
    <t>فرز JF دسته نیسان</t>
  </si>
  <si>
    <t>FR 14</t>
  </si>
  <si>
    <t>تراش اولیه 52 نیسان</t>
  </si>
  <si>
    <t>TR 03</t>
  </si>
  <si>
    <t>نشیمنگاه مهره نیسان</t>
  </si>
  <si>
    <t>FR 15</t>
  </si>
  <si>
    <t>CNC دکل ماهو</t>
  </si>
  <si>
    <t>CNC 06</t>
  </si>
  <si>
    <t>جای خار نیسان</t>
  </si>
  <si>
    <t>FR 16</t>
  </si>
  <si>
    <t>CNC EMAG5</t>
  </si>
  <si>
    <t>CNC 07</t>
  </si>
  <si>
    <t>CNC EMAG4</t>
  </si>
  <si>
    <t>CNC 08</t>
  </si>
  <si>
    <t>CNC EMAG3</t>
  </si>
  <si>
    <t>CNC 09</t>
  </si>
  <si>
    <t>CNC EMAG 2</t>
  </si>
  <si>
    <t>CNC EMAG1</t>
  </si>
  <si>
    <t>هونینگ سوراخ بزرگ نیسان</t>
  </si>
  <si>
    <t>HO 01</t>
  </si>
  <si>
    <t>هونینگ سوراخ کوچک نیسان</t>
  </si>
  <si>
    <t>HO 02</t>
  </si>
  <si>
    <t>هونینگ سوراخ بزرگ پراید</t>
  </si>
  <si>
    <t>HO 03</t>
  </si>
  <si>
    <t>هونینگ سوراخ کوچک پراید</t>
  </si>
  <si>
    <t>HO 04</t>
  </si>
  <si>
    <t>هونینگ سوراخ بزرگ پژو</t>
  </si>
  <si>
    <t>HO 05</t>
  </si>
  <si>
    <t>هونینگ سوراخ کوچک پژو</t>
  </si>
  <si>
    <t>HO 06</t>
  </si>
  <si>
    <t>شستو شو</t>
  </si>
  <si>
    <t>SH 01</t>
  </si>
  <si>
    <t>حک لیزر</t>
  </si>
  <si>
    <t>H 01</t>
  </si>
  <si>
    <t>کمپرسور باد</t>
  </si>
  <si>
    <t>CO 01</t>
  </si>
  <si>
    <t>سنگ ساخت ابزار</t>
  </si>
  <si>
    <t>SA 02</t>
  </si>
  <si>
    <t>دی مگنت</t>
  </si>
  <si>
    <t>DM 01</t>
  </si>
  <si>
    <t>پولیش جونفیس کپه</t>
  </si>
  <si>
    <t>PO 01</t>
  </si>
  <si>
    <t>پولیش ایستگاه پراید</t>
  </si>
  <si>
    <t>PO 02</t>
  </si>
  <si>
    <t>پولیش جای مهره و پیچ</t>
  </si>
  <si>
    <t>PO 03</t>
  </si>
  <si>
    <t>پولیش کپه نیسان</t>
  </si>
  <si>
    <t>PO 04</t>
  </si>
  <si>
    <t>دریل پخ سوراخ پیچ کپه</t>
  </si>
  <si>
    <t>DR 01</t>
  </si>
  <si>
    <t>دریل پخ اولیه و نهایی سوراخ کوچک</t>
  </si>
  <si>
    <t>DR 02</t>
  </si>
  <si>
    <t>دریل برقو دستی</t>
  </si>
  <si>
    <t>DR 03</t>
  </si>
  <si>
    <t>دریل پخ سوراخ بزرگ نهایی روس</t>
  </si>
  <si>
    <t>DR 04</t>
  </si>
  <si>
    <t>دریل پخ سوراخ جای پیچ دسته نیسان</t>
  </si>
  <si>
    <t>DR 05</t>
  </si>
  <si>
    <t>دریل پخ سوراخ کوچک پژو</t>
  </si>
  <si>
    <t>DR 06</t>
  </si>
  <si>
    <t>دریل پخ نهایی سوراخ کوچک پژو</t>
  </si>
  <si>
    <t>DR 07</t>
  </si>
  <si>
    <t>دریل ستونی پخ سوراخ بزرگ</t>
  </si>
  <si>
    <t>DR 08</t>
  </si>
  <si>
    <t>دریل برقو کپه نیسان</t>
  </si>
  <si>
    <t>DR 09</t>
  </si>
  <si>
    <t>دریل پخ سوراخ پیچ نیسان</t>
  </si>
  <si>
    <t>DR 10</t>
  </si>
  <si>
    <t>دریل پله نیسان</t>
  </si>
  <si>
    <t>DR 11</t>
  </si>
  <si>
    <t>فرچه سیمی (رنگی زنگی)</t>
  </si>
  <si>
    <t>FS 01</t>
  </si>
  <si>
    <t>فرز نشیمنگاه پیچ نیسان</t>
  </si>
  <si>
    <t>FR 17</t>
  </si>
  <si>
    <t>فرز جای خار پراید</t>
  </si>
  <si>
    <t>FR 18</t>
  </si>
  <si>
    <t xml:space="preserve"> فرزنشیمنگاه مهره پراید</t>
  </si>
  <si>
    <t>FR 19</t>
  </si>
  <si>
    <t xml:space="preserve"> فرزنشیمنگاه پیچ پراید</t>
  </si>
  <si>
    <t>FR 20</t>
  </si>
  <si>
    <t>دریل پیشرو پخ سوراخ بزرگ پراید</t>
  </si>
  <si>
    <t>DR 12</t>
  </si>
  <si>
    <t>دریل برقو سوراخ کوچک کپه پراید</t>
  </si>
  <si>
    <t>DR 13</t>
  </si>
  <si>
    <r>
      <t xml:space="preserve">کد فرم: </t>
    </r>
    <r>
      <rPr>
        <sz val="11"/>
        <color theme="1"/>
        <rFont val="Times New Roman"/>
        <family val="1"/>
      </rPr>
      <t>FM351</t>
    </r>
  </si>
  <si>
    <r>
      <t xml:space="preserve">شماره بازنگری: </t>
    </r>
    <r>
      <rPr>
        <sz val="11"/>
        <color theme="1"/>
        <rFont val="Times New Roman"/>
        <family val="1"/>
      </rPr>
      <t>01</t>
    </r>
  </si>
  <si>
    <t>&gt;=430</t>
  </si>
  <si>
    <t>&lt;430</t>
  </si>
  <si>
    <t>پرس پیچ پراید</t>
  </si>
  <si>
    <t>ترک متر پراید</t>
  </si>
  <si>
    <t>SA 03</t>
  </si>
  <si>
    <t>PR 02</t>
  </si>
  <si>
    <t>TM 02</t>
  </si>
  <si>
    <t xml:space="preserve">پرس بوش </t>
  </si>
  <si>
    <t>PB 01</t>
  </si>
  <si>
    <t xml:space="preserve">سایزینگ </t>
  </si>
  <si>
    <t>SZ 01</t>
  </si>
  <si>
    <t>ماپال</t>
  </si>
  <si>
    <t>MA 01</t>
  </si>
  <si>
    <t>دمونتاژ</t>
  </si>
  <si>
    <t>DE 01</t>
  </si>
  <si>
    <t>پولیش جوینت فیس دسته نیسان</t>
  </si>
  <si>
    <t>PO 05</t>
  </si>
  <si>
    <t>پولیش مونتاژ پژو</t>
  </si>
  <si>
    <t>PO 06</t>
  </si>
  <si>
    <t>پولیش مونتاژ پراید</t>
  </si>
  <si>
    <t>PO 07</t>
  </si>
  <si>
    <t>پولیش سوراخ کوچک نیسان</t>
  </si>
  <si>
    <t>PO 08</t>
  </si>
  <si>
    <t>سنگ محک 1</t>
  </si>
  <si>
    <t>سنگ محک 2</t>
  </si>
  <si>
    <t>SA 04</t>
  </si>
  <si>
    <t>کلیدی</t>
  </si>
  <si>
    <t>نیمه کلیدی</t>
  </si>
  <si>
    <t>عادی</t>
  </si>
  <si>
    <r>
      <t xml:space="preserve">تاریخ بازنگری محتوا: </t>
    </r>
    <r>
      <rPr>
        <sz val="11"/>
        <color theme="1"/>
        <rFont val="Times New Roman"/>
        <family val="1"/>
      </rPr>
      <t>1403/11/06</t>
    </r>
  </si>
  <si>
    <r>
      <t xml:space="preserve">شماره بازنگري : </t>
    </r>
    <r>
      <rPr>
        <sz val="10"/>
        <color theme="1"/>
        <rFont val="Times New Roman"/>
        <family val="1"/>
      </rPr>
      <t>00</t>
    </r>
    <r>
      <rPr>
        <sz val="10"/>
        <color theme="1"/>
        <rFont val="B Nazanin"/>
        <charset val="178"/>
      </rPr>
      <t xml:space="preserve"> </t>
    </r>
  </si>
  <si>
    <r>
      <t xml:space="preserve">كد سند : </t>
    </r>
    <r>
      <rPr>
        <sz val="10"/>
        <color theme="1"/>
        <rFont val="Times New Roman"/>
        <family val="1"/>
      </rPr>
      <t>FM181</t>
    </r>
  </si>
  <si>
    <t>تهيه كننده (نام و امضا): 
تاريخ:</t>
  </si>
  <si>
    <t>مدير عامل (نام و امضا): 
تاريخ :</t>
  </si>
  <si>
    <t xml:space="preserve">تاريخ : </t>
  </si>
  <si>
    <t>خط انداز</t>
  </si>
  <si>
    <t>KH 001</t>
  </si>
  <si>
    <t>شکست</t>
  </si>
  <si>
    <t>SK 001</t>
  </si>
  <si>
    <t>دریل پیشرو خروجی قلاویز</t>
  </si>
  <si>
    <t>DR 014</t>
  </si>
  <si>
    <t>دستگاه قلاویز</t>
  </si>
  <si>
    <t>TAP0 01</t>
  </si>
  <si>
    <t>فرز بغل تراش بازاری</t>
  </si>
  <si>
    <t>FR 021</t>
  </si>
  <si>
    <t>اره نواری بازاری</t>
  </si>
  <si>
    <t>AR 003</t>
  </si>
  <si>
    <t>قرزJF دسته بازاری</t>
  </si>
  <si>
    <t>FR 022</t>
  </si>
  <si>
    <t>فرزJF کپه بازاری</t>
  </si>
  <si>
    <t>FR 023</t>
  </si>
  <si>
    <t>تراش اولیه بازاری</t>
  </si>
  <si>
    <t>TR 004</t>
  </si>
  <si>
    <t>فرز نشیمنگاه پیچ بازاری</t>
  </si>
  <si>
    <t>FR 024</t>
  </si>
  <si>
    <t>فرز نشیمنگاه مهره بازاری</t>
  </si>
  <si>
    <t>FR 025</t>
  </si>
  <si>
    <t>فرز خار بازاری</t>
  </si>
  <si>
    <t>FR 026</t>
  </si>
  <si>
    <t>سوراخ روغن XU7 بازاری</t>
  </si>
  <si>
    <t>OH 001</t>
  </si>
  <si>
    <t>سایزینگ TU5</t>
  </si>
  <si>
    <t>SZ 002</t>
  </si>
  <si>
    <t>فرز خار EF7</t>
  </si>
  <si>
    <t>FR 027</t>
  </si>
  <si>
    <t>سوراخ روغن نیسان</t>
  </si>
  <si>
    <t>OH 002</t>
  </si>
  <si>
    <t>تراش اولیه سوراخ بزرگ EF7</t>
  </si>
  <si>
    <t>TR 005</t>
  </si>
  <si>
    <t>دمونتاژ TU5</t>
  </si>
  <si>
    <t>DE 002</t>
  </si>
  <si>
    <t>پرس پیچ نیسان</t>
  </si>
  <si>
    <t>PR 003</t>
  </si>
  <si>
    <t>دمونتاژ ناگل کنترل نهایی</t>
  </si>
  <si>
    <t>DE 003</t>
  </si>
  <si>
    <t>دستگاه مولتی گیج</t>
  </si>
  <si>
    <t>حک لیزری TU5</t>
  </si>
  <si>
    <t>H 002</t>
  </si>
  <si>
    <t>سایزینگ نیسان</t>
  </si>
  <si>
    <t>SZ 003</t>
  </si>
  <si>
    <t>سوراخ روغن TU3و پراید</t>
  </si>
  <si>
    <t>OH 003</t>
  </si>
  <si>
    <t>اره نواری OHV (مطلب)</t>
  </si>
  <si>
    <t>AR 004</t>
  </si>
  <si>
    <t>پیلو پک</t>
  </si>
  <si>
    <t>PI 001</t>
  </si>
  <si>
    <t>یو دریل TU5</t>
  </si>
  <si>
    <t>UD 003</t>
  </si>
  <si>
    <t>ترک متر 3</t>
  </si>
  <si>
    <t>TM 003</t>
  </si>
  <si>
    <t>ماپال2</t>
  </si>
  <si>
    <t>PB 001</t>
  </si>
  <si>
    <t xml:space="preserve">اماگ 4 </t>
  </si>
  <si>
    <t>اماگ 5</t>
  </si>
  <si>
    <t>سنگ تخت</t>
  </si>
  <si>
    <t>ندارد</t>
  </si>
  <si>
    <t>MG001</t>
  </si>
  <si>
    <t>سنگ دبل</t>
  </si>
  <si>
    <t xml:space="preserve"> CNC 07 ,CNC 08</t>
  </si>
  <si>
    <t>CNC EMAG5 , CNC EMAG4</t>
  </si>
  <si>
    <t>کمپرسور باد 1</t>
  </si>
  <si>
    <t>کمپرسور باد 2</t>
  </si>
  <si>
    <t>درایر</t>
  </si>
  <si>
    <t>CO 002</t>
  </si>
  <si>
    <t>DR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</si>
</sst>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10"/>
      <color theme="1"/>
      <name val="Calibri"/>
      <family val="2"/>
      <scheme val="minor"/>
    </font>
    <font>
      <sz val="9"/>
      <color theme="1"/>
      <name val="B Nazanin"/>
      <charset val="178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1"/>
      <color theme="1"/>
      <name val="B Nazanin"/>
      <charset val="178"/>
    </font>
    <font>
      <sz val="12"/>
      <color theme="1"/>
      <name val="Calibri"/>
      <family val="2"/>
      <scheme val="minor"/>
    </font>
    <font>
      <sz val="14"/>
      <color theme="1"/>
      <name val="B Titr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mbria"/>
      <family val="1"/>
      <scheme val="major"/>
    </font>
    <font>
      <sz val="12"/>
      <color theme="1"/>
      <name val="B Titr"/>
      <charset val="178"/>
    </font>
    <font>
      <b/>
      <sz val="10"/>
      <color theme="1"/>
      <name val="B Nazanin"/>
      <charset val="178"/>
    </font>
    <font>
      <sz val="10"/>
      <color theme="1"/>
      <name val="Kartika"/>
      <family val="1"/>
    </font>
    <font>
      <sz val="12"/>
      <color theme="1"/>
      <name val="B Nazanin"/>
      <charset val="178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20"/>
      <color theme="1"/>
      <name val="B Titr"/>
      <charset val="178"/>
    </font>
    <font>
      <sz val="10"/>
      <color theme="1"/>
      <name val="Times New Roman"/>
      <family val="1"/>
    </font>
    <font>
      <sz val="14"/>
      <color theme="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dashed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3" xfId="0" applyBorder="1"/>
    <xf numFmtId="0" fontId="0" fillId="0" borderId="3" xfId="0" applyBorder="1"/>
    <xf numFmtId="0" fontId="0" fillId="0" borderId="15" xfId="0" applyBorder="1"/>
    <xf numFmtId="0" fontId="0" fillId="0" borderId="16" xfId="0" applyBorder="1"/>
    <xf numFmtId="0" fontId="0" fillId="0" borderId="28" xfId="0" applyBorder="1"/>
    <xf numFmtId="0" fontId="0" fillId="0" borderId="29" xfId="0" applyBorder="1"/>
    <xf numFmtId="0" fontId="0" fillId="0" borderId="14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1" xfId="0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9" fontId="1" fillId="3" borderId="9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NumberFormat="1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/>
    <xf numFmtId="0" fontId="1" fillId="0" borderId="30" xfId="0" applyFont="1" applyBorder="1"/>
    <xf numFmtId="0" fontId="0" fillId="0" borderId="40" xfId="0" applyBorder="1"/>
    <xf numFmtId="0" fontId="1" fillId="0" borderId="41" xfId="0" applyFont="1" applyBorder="1"/>
    <xf numFmtId="0" fontId="0" fillId="0" borderId="42" xfId="0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/>
    <xf numFmtId="0" fontId="0" fillId="0" borderId="44" xfId="0" applyBorder="1"/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6" borderId="0" xfId="0" applyFill="1"/>
    <xf numFmtId="0" fontId="0" fillId="0" borderId="28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readingOrder="2"/>
    </xf>
    <xf numFmtId="0" fontId="2" fillId="0" borderId="22" xfId="0" applyFont="1" applyBorder="1" applyAlignment="1">
      <alignment vertical="center" readingOrder="2"/>
    </xf>
    <xf numFmtId="0" fontId="2" fillId="0" borderId="41" xfId="0" applyFont="1" applyBorder="1" applyAlignment="1">
      <alignment vertical="center" readingOrder="2"/>
    </xf>
    <xf numFmtId="0" fontId="0" fillId="0" borderId="0" xfId="0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2"/>
    </xf>
    <xf numFmtId="0" fontId="0" fillId="0" borderId="50" xfId="0" applyBorder="1" applyAlignment="1"/>
    <xf numFmtId="0" fontId="15" fillId="0" borderId="1" xfId="0" applyFont="1" applyBorder="1" applyAlignment="1">
      <alignment horizontal="center" vertical="center" wrapText="1" readingOrder="2"/>
    </xf>
    <xf numFmtId="0" fontId="2" fillId="0" borderId="0" xfId="0" applyFont="1"/>
    <xf numFmtId="0" fontId="6" fillId="3" borderId="2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9" fontId="18" fillId="3" borderId="9" xfId="0" applyNumberFormat="1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5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Fill="1" applyBorder="1"/>
    <xf numFmtId="0" fontId="18" fillId="0" borderId="2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 wrapText="1" readingOrder="2"/>
    </xf>
    <xf numFmtId="0" fontId="14" fillId="0" borderId="2" xfId="0" applyFont="1" applyBorder="1" applyAlignment="1">
      <alignment horizontal="center" vertical="center" wrapText="1" readingOrder="2"/>
    </xf>
    <xf numFmtId="0" fontId="14" fillId="0" borderId="19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2"/>
    </xf>
    <xf numFmtId="0" fontId="21" fillId="0" borderId="1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22" xfId="0" applyFont="1" applyBorder="1" applyAlignment="1">
      <alignment horizontal="center" vertical="center"/>
    </xf>
    <xf numFmtId="0" fontId="1" fillId="0" borderId="35" xfId="0" applyFont="1" applyBorder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55" xfId="0" applyFont="1" applyBorder="1" applyAlignment="1">
      <alignment horizontal="right" vertical="center"/>
    </xf>
    <xf numFmtId="0" fontId="1" fillId="0" borderId="56" xfId="0" applyFont="1" applyBorder="1" applyAlignment="1">
      <alignment horizontal="right" vertical="center"/>
    </xf>
    <xf numFmtId="0" fontId="1" fillId="0" borderId="57" xfId="0" applyFont="1" applyBorder="1" applyAlignment="1">
      <alignment horizontal="right" vertical="center"/>
    </xf>
    <xf numFmtId="0" fontId="16" fillId="0" borderId="33" xfId="0" applyFont="1" applyBorder="1" applyAlignment="1">
      <alignment horizontal="center" vertical="center" textRotation="90"/>
    </xf>
    <xf numFmtId="0" fontId="16" fillId="0" borderId="58" xfId="0" applyFont="1" applyBorder="1" applyAlignment="1">
      <alignment horizontal="center" vertical="center" textRotation="90"/>
    </xf>
    <xf numFmtId="0" fontId="16" fillId="0" borderId="34" xfId="0" applyFont="1" applyBorder="1" applyAlignment="1">
      <alignment horizontal="center" vertical="center" textRotation="90"/>
    </xf>
    <xf numFmtId="0" fontId="16" fillId="0" borderId="59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16" fillId="0" borderId="60" xfId="0" applyFont="1" applyBorder="1" applyAlignment="1">
      <alignment horizontal="center" vertical="center" textRotation="90"/>
    </xf>
    <xf numFmtId="0" fontId="16" fillId="0" borderId="19" xfId="0" applyFont="1" applyBorder="1" applyAlignment="1">
      <alignment horizontal="center" vertical="center" textRotation="90"/>
    </xf>
    <xf numFmtId="0" fontId="16" fillId="0" borderId="46" xfId="0" applyFont="1" applyBorder="1" applyAlignment="1">
      <alignment horizontal="center" vertical="center" textRotation="90"/>
    </xf>
    <xf numFmtId="0" fontId="16" fillId="0" borderId="20" xfId="0" applyFont="1" applyBorder="1" applyAlignment="1">
      <alignment horizontal="center" vertical="center" textRotation="90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7" xfId="0" applyFont="1" applyBorder="1" applyAlignment="1">
      <alignment horizontal="right" vertical="center"/>
    </xf>
    <xf numFmtId="0" fontId="1" fillId="0" borderId="38" xfId="0" applyFont="1" applyBorder="1" applyAlignment="1">
      <alignment horizontal="right" vertical="center"/>
    </xf>
    <xf numFmtId="0" fontId="1" fillId="0" borderId="39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textRotation="90"/>
    </xf>
    <xf numFmtId="0" fontId="1" fillId="0" borderId="46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45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35" xfId="0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0" fillId="0" borderId="38" xfId="0" applyBorder="1" applyAlignment="1">
      <alignment horizontal="right" vertical="center"/>
    </xf>
    <xf numFmtId="0" fontId="0" fillId="0" borderId="39" xfId="0" applyBorder="1" applyAlignment="1">
      <alignment horizontal="right" vertical="center"/>
    </xf>
    <xf numFmtId="0" fontId="2" fillId="5" borderId="25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right" vertical="top" wrapText="1"/>
    </xf>
    <xf numFmtId="0" fontId="2" fillId="0" borderId="26" xfId="0" applyFont="1" applyBorder="1" applyAlignment="1">
      <alignment horizontal="right" vertical="top" wrapText="1"/>
    </xf>
    <xf numFmtId="0" fontId="2" fillId="0" borderId="26" xfId="0" applyFont="1" applyBorder="1" applyAlignment="1">
      <alignment horizontal="right" vertical="top"/>
    </xf>
    <xf numFmtId="0" fontId="2" fillId="0" borderId="24" xfId="0" applyFont="1" applyBorder="1" applyAlignment="1">
      <alignment horizontal="right" vertical="top"/>
    </xf>
    <xf numFmtId="0" fontId="14" fillId="0" borderId="33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readingOrder="2"/>
    </xf>
    <xf numFmtId="0" fontId="16" fillId="2" borderId="6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9" fillId="0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0" fillId="0" borderId="6" xfId="0" applyBorder="1"/>
    <xf numFmtId="0" fontId="22" fillId="0" borderId="6" xfId="0" applyFont="1" applyFill="1" applyBorder="1" applyAlignment="1">
      <alignment horizontal="center" vertical="center" readingOrder="2"/>
    </xf>
    <xf numFmtId="0" fontId="22" fillId="2" borderId="6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4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666751</xdr:colOff>
      <xdr:row>1</xdr:row>
      <xdr:rowOff>66335</xdr:rowOff>
    </xdr:from>
    <xdr:to>
      <xdr:col>2</xdr:col>
      <xdr:colOff>1734110</xdr:colOff>
      <xdr:row>3</xdr:row>
      <xdr:rowOff>212791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0687109" y="221116"/>
          <a:ext cx="1067359" cy="7417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</xdr:row>
      <xdr:rowOff>59628</xdr:rowOff>
    </xdr:from>
    <xdr:to>
      <xdr:col>2</xdr:col>
      <xdr:colOff>921204</xdr:colOff>
      <xdr:row>2</xdr:row>
      <xdr:rowOff>272402</xdr:rowOff>
    </xdr:to>
    <xdr:pic>
      <xdr:nvPicPr>
        <xdr:cNvPr id="2" name="Picture 1" descr="Backup_of_قطعه سازان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9526196" y="212028"/>
          <a:ext cx="530679" cy="5651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86904</xdr:rowOff>
    </xdr:from>
    <xdr:to>
      <xdr:col>2</xdr:col>
      <xdr:colOff>133350</xdr:colOff>
      <xdr:row>3</xdr:row>
      <xdr:rowOff>107471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9800950" y="220254"/>
          <a:ext cx="695325" cy="553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L121"/>
  <sheetViews>
    <sheetView rightToLeft="1" tabSelected="1" zoomScale="80" zoomScaleNormal="80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AL11" sqref="AL11"/>
    </sheetView>
  </sheetViews>
  <sheetFormatPr defaultRowHeight="15" x14ac:dyDescent="0.25"/>
  <cols>
    <col min="1" max="1" width="1.5703125" customWidth="1"/>
    <col min="2" max="2" width="4.7109375" customWidth="1"/>
    <col min="3" max="3" width="32.85546875" customWidth="1"/>
    <col min="4" max="4" width="9.7109375" customWidth="1"/>
    <col min="5" max="8" width="4.42578125" customWidth="1"/>
    <col min="9" max="9" width="6" customWidth="1"/>
    <col min="10" max="11" width="5.140625" customWidth="1"/>
    <col min="12" max="13" width="6.5703125" customWidth="1"/>
    <col min="14" max="14" width="4.42578125" customWidth="1"/>
    <col min="15" max="15" width="5.42578125" customWidth="1"/>
    <col min="16" max="16" width="6.85546875" customWidth="1"/>
    <col min="17" max="17" width="4.42578125" customWidth="1"/>
    <col min="18" max="18" width="7.7109375" customWidth="1"/>
    <col min="19" max="19" width="4.42578125" customWidth="1"/>
    <col min="20" max="20" width="6.42578125" customWidth="1"/>
    <col min="21" max="21" width="7.42578125" customWidth="1"/>
    <col min="22" max="22" width="6.140625" customWidth="1"/>
    <col min="23" max="23" width="5.5703125" customWidth="1"/>
    <col min="24" max="26" width="4.42578125" customWidth="1"/>
    <col min="27" max="28" width="6.85546875" customWidth="1"/>
    <col min="29" max="29" width="6" customWidth="1"/>
    <col min="30" max="30" width="5.7109375" customWidth="1"/>
    <col min="31" max="31" width="7.28515625" customWidth="1"/>
    <col min="32" max="32" width="5.7109375" customWidth="1"/>
    <col min="33" max="33" width="9.7109375" customWidth="1"/>
    <col min="34" max="34" width="12.42578125" customWidth="1"/>
  </cols>
  <sheetData>
    <row r="1" spans="2:38" ht="12" customHeight="1" thickBot="1" x14ac:dyDescent="0.3"/>
    <row r="2" spans="2:38" ht="24" customHeight="1" x14ac:dyDescent="0.25">
      <c r="B2" s="6"/>
      <c r="C2" s="156"/>
      <c r="D2" s="157"/>
      <c r="E2" s="147" t="s">
        <v>245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9"/>
      <c r="AF2" s="119" t="s">
        <v>415</v>
      </c>
      <c r="AG2" s="120"/>
      <c r="AH2" s="121"/>
    </row>
    <row r="3" spans="2:38" ht="22.5" customHeight="1" thickBot="1" x14ac:dyDescent="0.3">
      <c r="B3" s="21"/>
      <c r="C3" s="158"/>
      <c r="D3" s="159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2"/>
      <c r="AF3" s="122" t="s">
        <v>416</v>
      </c>
      <c r="AG3" s="123"/>
      <c r="AH3" s="124"/>
    </row>
    <row r="4" spans="2:38" ht="24.75" customHeight="1" thickBot="1" x14ac:dyDescent="0.3">
      <c r="B4" s="101"/>
      <c r="C4" s="160"/>
      <c r="D4" s="161"/>
      <c r="E4" s="153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5"/>
      <c r="AF4" s="162" t="s">
        <v>446</v>
      </c>
      <c r="AG4" s="163"/>
      <c r="AH4" s="164"/>
    </row>
    <row r="5" spans="2:38" ht="92.25" customHeight="1" thickBot="1" x14ac:dyDescent="0.3">
      <c r="B5" s="125" t="s">
        <v>0</v>
      </c>
      <c r="C5" s="128" t="s">
        <v>1</v>
      </c>
      <c r="D5" s="131" t="s">
        <v>2</v>
      </c>
      <c r="E5" s="134" t="s">
        <v>261</v>
      </c>
      <c r="F5" s="135"/>
      <c r="G5" s="135"/>
      <c r="H5" s="136" t="s">
        <v>260</v>
      </c>
      <c r="I5" s="136"/>
      <c r="J5" s="137" t="s">
        <v>259</v>
      </c>
      <c r="K5" s="137"/>
      <c r="L5" s="138" t="s">
        <v>273</v>
      </c>
      <c r="M5" s="138"/>
      <c r="N5" s="166" t="s">
        <v>258</v>
      </c>
      <c r="O5" s="135"/>
      <c r="P5" s="135"/>
      <c r="Q5" s="167" t="s">
        <v>257</v>
      </c>
      <c r="R5" s="168"/>
      <c r="S5" s="168"/>
      <c r="T5" s="169" t="s">
        <v>274</v>
      </c>
      <c r="U5" s="170"/>
      <c r="V5" s="171" t="s">
        <v>271</v>
      </c>
      <c r="W5" s="172"/>
      <c r="X5" s="169" t="s">
        <v>253</v>
      </c>
      <c r="Y5" s="173"/>
      <c r="Z5" s="174"/>
      <c r="AA5" s="171" t="s">
        <v>277</v>
      </c>
      <c r="AB5" s="175"/>
      <c r="AC5" s="172"/>
      <c r="AD5" s="139" t="s">
        <v>272</v>
      </c>
      <c r="AE5" s="140"/>
      <c r="AF5" s="140"/>
      <c r="AG5" s="141" t="s">
        <v>20</v>
      </c>
      <c r="AH5" s="144" t="s">
        <v>21</v>
      </c>
    </row>
    <row r="6" spans="2:38" ht="16.5" customHeight="1" thickBot="1" x14ac:dyDescent="0.3">
      <c r="B6" s="126"/>
      <c r="C6" s="129"/>
      <c r="D6" s="132"/>
      <c r="E6" s="79">
        <v>10</v>
      </c>
      <c r="F6" s="80">
        <v>3</v>
      </c>
      <c r="G6" s="80">
        <v>0</v>
      </c>
      <c r="H6" s="81">
        <v>5</v>
      </c>
      <c r="I6" s="82">
        <v>0</v>
      </c>
      <c r="J6" s="79">
        <v>10</v>
      </c>
      <c r="K6" s="80">
        <v>0</v>
      </c>
      <c r="L6" s="81">
        <v>5</v>
      </c>
      <c r="M6" s="82">
        <v>3</v>
      </c>
      <c r="N6" s="79">
        <v>10</v>
      </c>
      <c r="O6" s="80">
        <v>3</v>
      </c>
      <c r="P6" s="80">
        <v>0</v>
      </c>
      <c r="Q6" s="81">
        <v>10</v>
      </c>
      <c r="R6" s="83">
        <v>5</v>
      </c>
      <c r="S6" s="83">
        <v>0</v>
      </c>
      <c r="T6" s="79">
        <v>0</v>
      </c>
      <c r="U6" s="84">
        <v>5</v>
      </c>
      <c r="V6" s="81">
        <v>0</v>
      </c>
      <c r="W6" s="82">
        <v>5</v>
      </c>
      <c r="X6" s="79">
        <v>10</v>
      </c>
      <c r="Y6" s="80">
        <v>5</v>
      </c>
      <c r="Z6" s="80">
        <v>0</v>
      </c>
      <c r="AA6" s="81">
        <v>10</v>
      </c>
      <c r="AB6" s="82">
        <v>5</v>
      </c>
      <c r="AC6" s="82">
        <v>0</v>
      </c>
      <c r="AD6" s="79">
        <v>5</v>
      </c>
      <c r="AE6" s="80">
        <v>3</v>
      </c>
      <c r="AF6" s="80">
        <v>0</v>
      </c>
      <c r="AG6" s="142"/>
      <c r="AH6" s="145"/>
    </row>
    <row r="7" spans="2:38" ht="16.5" customHeight="1" thickBot="1" x14ac:dyDescent="0.3">
      <c r="B7" s="126"/>
      <c r="C7" s="129"/>
      <c r="D7" s="132"/>
      <c r="E7" s="79">
        <v>3</v>
      </c>
      <c r="F7" s="80">
        <v>3</v>
      </c>
      <c r="G7" s="80">
        <v>3</v>
      </c>
      <c r="H7" s="81">
        <v>2</v>
      </c>
      <c r="I7" s="82">
        <v>2</v>
      </c>
      <c r="J7" s="79">
        <v>3</v>
      </c>
      <c r="K7" s="80">
        <v>3</v>
      </c>
      <c r="L7" s="81">
        <v>1</v>
      </c>
      <c r="M7" s="82">
        <v>1</v>
      </c>
      <c r="N7" s="85">
        <v>2</v>
      </c>
      <c r="O7" s="86">
        <v>2</v>
      </c>
      <c r="P7" s="80">
        <v>2</v>
      </c>
      <c r="Q7" s="81">
        <v>3</v>
      </c>
      <c r="R7" s="83">
        <v>3</v>
      </c>
      <c r="S7" s="83">
        <v>3</v>
      </c>
      <c r="T7" s="79">
        <v>1</v>
      </c>
      <c r="U7" s="84">
        <v>1</v>
      </c>
      <c r="V7" s="81">
        <v>1</v>
      </c>
      <c r="W7" s="82">
        <v>1</v>
      </c>
      <c r="X7" s="79">
        <v>3</v>
      </c>
      <c r="Y7" s="80">
        <v>3</v>
      </c>
      <c r="Z7" s="80">
        <v>3</v>
      </c>
      <c r="AA7" s="81">
        <v>3</v>
      </c>
      <c r="AB7" s="82">
        <v>3</v>
      </c>
      <c r="AC7" s="82">
        <v>3</v>
      </c>
      <c r="AD7" s="79">
        <v>1</v>
      </c>
      <c r="AE7" s="80">
        <v>1</v>
      </c>
      <c r="AF7" s="80">
        <v>1</v>
      </c>
      <c r="AG7" s="142"/>
      <c r="AH7" s="145"/>
    </row>
    <row r="8" spans="2:38" ht="21" customHeight="1" thickBot="1" x14ac:dyDescent="0.3">
      <c r="B8" s="127" t="s">
        <v>0</v>
      </c>
      <c r="C8" s="130" t="s">
        <v>1</v>
      </c>
      <c r="D8" s="133"/>
      <c r="E8" s="90">
        <v>1</v>
      </c>
      <c r="F8" s="91">
        <v>2</v>
      </c>
      <c r="G8" s="91" t="s">
        <v>3</v>
      </c>
      <c r="H8" s="38" t="s">
        <v>4</v>
      </c>
      <c r="I8" s="39" t="s">
        <v>5</v>
      </c>
      <c r="J8" s="92" t="s">
        <v>4</v>
      </c>
      <c r="K8" s="93" t="s">
        <v>5</v>
      </c>
      <c r="L8" s="97" t="s">
        <v>418</v>
      </c>
      <c r="M8" s="98" t="s">
        <v>417</v>
      </c>
      <c r="N8" s="92" t="s">
        <v>5</v>
      </c>
      <c r="O8" s="94">
        <v>0.5</v>
      </c>
      <c r="P8" s="94">
        <v>1</v>
      </c>
      <c r="Q8" s="95" t="s">
        <v>269</v>
      </c>
      <c r="R8" s="96" t="s">
        <v>270</v>
      </c>
      <c r="S8" s="96" t="s">
        <v>19</v>
      </c>
      <c r="T8" s="90" t="s">
        <v>275</v>
      </c>
      <c r="U8" s="91" t="s">
        <v>276</v>
      </c>
      <c r="V8" s="38" t="s">
        <v>4</v>
      </c>
      <c r="W8" s="39" t="s">
        <v>5</v>
      </c>
      <c r="X8" s="87" t="s">
        <v>12</v>
      </c>
      <c r="Y8" s="88" t="s">
        <v>13</v>
      </c>
      <c r="Z8" s="89" t="s">
        <v>14</v>
      </c>
      <c r="AA8" s="38" t="s">
        <v>254</v>
      </c>
      <c r="AB8" s="39" t="s">
        <v>255</v>
      </c>
      <c r="AC8" s="39" t="s">
        <v>256</v>
      </c>
      <c r="AD8" s="92" t="s">
        <v>254</v>
      </c>
      <c r="AE8" s="93" t="s">
        <v>255</v>
      </c>
      <c r="AF8" s="93" t="s">
        <v>256</v>
      </c>
      <c r="AG8" s="143"/>
      <c r="AH8" s="146"/>
    </row>
    <row r="9" spans="2:38" ht="24.6" customHeight="1" thickBot="1" x14ac:dyDescent="0.5">
      <c r="B9" s="99">
        <v>1</v>
      </c>
      <c r="C9" s="232" t="s">
        <v>278</v>
      </c>
      <c r="D9" s="233" t="s">
        <v>279</v>
      </c>
      <c r="E9" s="234">
        <v>1</v>
      </c>
      <c r="F9" s="234"/>
      <c r="G9" s="234"/>
      <c r="H9" s="234">
        <v>1</v>
      </c>
      <c r="I9" s="234"/>
      <c r="J9" s="234">
        <v>1</v>
      </c>
      <c r="K9" s="234"/>
      <c r="L9" s="234"/>
      <c r="M9" s="234">
        <v>1</v>
      </c>
      <c r="N9" s="235"/>
      <c r="O9" s="234">
        <v>1</v>
      </c>
      <c r="P9" s="234"/>
      <c r="Q9" s="234">
        <v>1</v>
      </c>
      <c r="R9" s="234"/>
      <c r="S9" s="234"/>
      <c r="T9" s="234">
        <v>1</v>
      </c>
      <c r="U9" s="234"/>
      <c r="V9" s="234">
        <v>1</v>
      </c>
      <c r="W9" s="234"/>
      <c r="X9" s="234"/>
      <c r="Y9" s="234"/>
      <c r="Z9" s="234">
        <v>1</v>
      </c>
      <c r="AA9" s="234"/>
      <c r="AB9" s="234"/>
      <c r="AC9" s="234">
        <v>1</v>
      </c>
      <c r="AD9" s="234">
        <v>1</v>
      </c>
      <c r="AE9" s="234"/>
      <c r="AF9" s="234"/>
      <c r="AG9" s="236">
        <f>SUMPRODUCT(E9:AF9,$E$7:$AF$7,$E$6:$AF$6)</f>
        <v>114</v>
      </c>
      <c r="AH9" s="237" t="str">
        <f>IF(AG9&gt;100,"کلیدی",IF(AG9&lt;80,"عادی","نیمه کلیدی"))</f>
        <v>کلیدی</v>
      </c>
      <c r="AI9" s="68" t="s">
        <v>514</v>
      </c>
      <c r="AJ9" s="105" t="s">
        <v>443</v>
      </c>
      <c r="AK9" s="68"/>
      <c r="AL9" s="68"/>
    </row>
    <row r="10" spans="2:38" ht="24.6" customHeight="1" thickBot="1" x14ac:dyDescent="0.5">
      <c r="B10" s="100">
        <v>2</v>
      </c>
      <c r="C10" s="232" t="s">
        <v>280</v>
      </c>
      <c r="D10" s="233" t="s">
        <v>281</v>
      </c>
      <c r="E10" s="234"/>
      <c r="F10" s="234">
        <v>1</v>
      </c>
      <c r="G10" s="234"/>
      <c r="H10" s="234">
        <v>1</v>
      </c>
      <c r="I10" s="234"/>
      <c r="J10" s="234"/>
      <c r="K10" s="234">
        <v>1</v>
      </c>
      <c r="L10" s="234"/>
      <c r="M10" s="234">
        <v>1</v>
      </c>
      <c r="N10" s="235"/>
      <c r="O10" s="234">
        <v>1</v>
      </c>
      <c r="P10" s="234"/>
      <c r="Q10" s="234"/>
      <c r="R10" s="234"/>
      <c r="S10" s="234">
        <v>1</v>
      </c>
      <c r="T10" s="234">
        <v>1</v>
      </c>
      <c r="U10" s="234"/>
      <c r="V10" s="234">
        <v>1</v>
      </c>
      <c r="W10" s="234"/>
      <c r="X10" s="234"/>
      <c r="Y10" s="234"/>
      <c r="Z10" s="234">
        <v>1</v>
      </c>
      <c r="AA10" s="234"/>
      <c r="AB10" s="234"/>
      <c r="AC10" s="234">
        <v>1</v>
      </c>
      <c r="AD10" s="234">
        <v>1</v>
      </c>
      <c r="AE10" s="234"/>
      <c r="AF10" s="234"/>
      <c r="AG10" s="236">
        <f>SUMPRODUCT(E10:AF10,$E$7:$AF$7,$E$6:$AF$6)</f>
        <v>33</v>
      </c>
      <c r="AH10" s="237" t="str">
        <f>IF(AG10&gt;100,"کلیدی",IF(AG10&lt;80,"عادی","نیمه کلیدی"))</f>
        <v>عادی</v>
      </c>
      <c r="AI10" s="68"/>
      <c r="AJ10" s="105" t="s">
        <v>444</v>
      </c>
      <c r="AK10" s="68"/>
      <c r="AL10" s="68"/>
    </row>
    <row r="11" spans="2:38" ht="24.6" customHeight="1" thickBot="1" x14ac:dyDescent="0.5">
      <c r="B11" s="100">
        <v>3</v>
      </c>
      <c r="C11" s="238" t="s">
        <v>282</v>
      </c>
      <c r="D11" s="239" t="s">
        <v>283</v>
      </c>
      <c r="E11" s="234"/>
      <c r="F11" s="234">
        <v>1</v>
      </c>
      <c r="G11" s="234"/>
      <c r="H11" s="234">
        <v>1</v>
      </c>
      <c r="I11" s="234"/>
      <c r="J11" s="234"/>
      <c r="K11" s="234">
        <v>1</v>
      </c>
      <c r="L11" s="234">
        <v>1</v>
      </c>
      <c r="M11" s="234"/>
      <c r="N11" s="235"/>
      <c r="O11" s="234">
        <v>1</v>
      </c>
      <c r="P11" s="234"/>
      <c r="Q11" s="234"/>
      <c r="R11" s="234">
        <v>1</v>
      </c>
      <c r="S11" s="234"/>
      <c r="T11" s="234">
        <v>1</v>
      </c>
      <c r="U11" s="234"/>
      <c r="V11" s="234">
        <v>1</v>
      </c>
      <c r="W11" s="234"/>
      <c r="X11" s="234"/>
      <c r="Y11" s="234"/>
      <c r="Z11" s="234">
        <v>1</v>
      </c>
      <c r="AA11" s="234"/>
      <c r="AB11" s="234"/>
      <c r="AC11" s="234">
        <v>1</v>
      </c>
      <c r="AD11" s="234">
        <v>1</v>
      </c>
      <c r="AE11" s="234"/>
      <c r="AF11" s="234"/>
      <c r="AG11" s="236">
        <f t="shared" ref="AG11:AG74" si="0">SUMPRODUCT(E11:AF11,$E$7:$AF$7,$E$6:$AF$6)</f>
        <v>50</v>
      </c>
      <c r="AH11" s="237" t="str">
        <f t="shared" ref="AH11:AH73" si="1">IF(AG11&gt;100,"کلیدی",IF(AG11&lt;80,"عادی","نیمه کلیدی"))</f>
        <v>عادی</v>
      </c>
      <c r="AI11" s="68"/>
      <c r="AJ11" s="105" t="s">
        <v>445</v>
      </c>
      <c r="AK11" s="68"/>
      <c r="AL11" s="68"/>
    </row>
    <row r="12" spans="2:38" ht="24.6" customHeight="1" thickBot="1" x14ac:dyDescent="0.5">
      <c r="B12" s="100">
        <v>4</v>
      </c>
      <c r="C12" s="240" t="s">
        <v>284</v>
      </c>
      <c r="D12" s="239" t="s">
        <v>285</v>
      </c>
      <c r="E12" s="234"/>
      <c r="F12" s="234">
        <v>1</v>
      </c>
      <c r="G12" s="234"/>
      <c r="H12" s="234">
        <v>1</v>
      </c>
      <c r="I12" s="234"/>
      <c r="J12" s="234">
        <v>1</v>
      </c>
      <c r="K12" s="234"/>
      <c r="L12" s="234">
        <v>1</v>
      </c>
      <c r="M12" s="234"/>
      <c r="N12" s="235"/>
      <c r="O12" s="234">
        <v>1</v>
      </c>
      <c r="P12" s="234"/>
      <c r="Q12" s="234"/>
      <c r="R12" s="234"/>
      <c r="S12" s="234">
        <v>1</v>
      </c>
      <c r="T12" s="234"/>
      <c r="U12" s="234">
        <v>1</v>
      </c>
      <c r="V12" s="234">
        <v>1</v>
      </c>
      <c r="W12" s="234"/>
      <c r="X12" s="234"/>
      <c r="Y12" s="234"/>
      <c r="Z12" s="234">
        <v>1</v>
      </c>
      <c r="AA12" s="234"/>
      <c r="AB12" s="234"/>
      <c r="AC12" s="234">
        <v>1</v>
      </c>
      <c r="AD12" s="234">
        <v>1</v>
      </c>
      <c r="AE12" s="234"/>
      <c r="AF12" s="234"/>
      <c r="AG12" s="236">
        <f t="shared" si="0"/>
        <v>70</v>
      </c>
      <c r="AH12" s="237" t="str">
        <f t="shared" si="1"/>
        <v>عادی</v>
      </c>
      <c r="AI12" s="68"/>
      <c r="AJ12" s="105"/>
      <c r="AK12" s="68"/>
      <c r="AL12" s="68"/>
    </row>
    <row r="13" spans="2:38" ht="24.6" customHeight="1" thickBot="1" x14ac:dyDescent="0.3">
      <c r="B13" s="100">
        <v>5</v>
      </c>
      <c r="C13" s="240" t="s">
        <v>286</v>
      </c>
      <c r="D13" s="239" t="s">
        <v>287</v>
      </c>
      <c r="E13" s="234"/>
      <c r="F13" s="234"/>
      <c r="G13" s="234">
        <v>1</v>
      </c>
      <c r="H13" s="234"/>
      <c r="I13" s="234">
        <v>1</v>
      </c>
      <c r="J13" s="234">
        <v>1</v>
      </c>
      <c r="K13" s="234"/>
      <c r="L13" s="234"/>
      <c r="M13" s="234">
        <v>1</v>
      </c>
      <c r="N13" s="235"/>
      <c r="O13" s="234">
        <v>1</v>
      </c>
      <c r="P13" s="234"/>
      <c r="Q13" s="234"/>
      <c r="R13" s="234"/>
      <c r="S13" s="234">
        <v>1</v>
      </c>
      <c r="T13" s="234">
        <v>1</v>
      </c>
      <c r="U13" s="234"/>
      <c r="V13" s="234">
        <v>1</v>
      </c>
      <c r="W13" s="234"/>
      <c r="X13" s="234"/>
      <c r="Y13" s="234"/>
      <c r="Z13" s="234">
        <v>1</v>
      </c>
      <c r="AA13" s="234"/>
      <c r="AB13" s="234"/>
      <c r="AC13" s="234">
        <v>1</v>
      </c>
      <c r="AD13" s="234">
        <v>1</v>
      </c>
      <c r="AE13" s="234"/>
      <c r="AF13" s="234"/>
      <c r="AG13" s="236">
        <f t="shared" si="0"/>
        <v>44</v>
      </c>
      <c r="AH13" s="237" t="str">
        <f t="shared" si="1"/>
        <v>عادی</v>
      </c>
      <c r="AI13" s="165"/>
      <c r="AJ13" s="165"/>
      <c r="AK13" s="68"/>
      <c r="AL13" s="68"/>
    </row>
    <row r="14" spans="2:38" ht="24.6" customHeight="1" thickBot="1" x14ac:dyDescent="0.3">
      <c r="B14" s="100">
        <v>6</v>
      </c>
      <c r="C14" s="238" t="s">
        <v>288</v>
      </c>
      <c r="D14" s="239" t="s">
        <v>289</v>
      </c>
      <c r="E14" s="234"/>
      <c r="F14" s="234">
        <v>1</v>
      </c>
      <c r="G14" s="234"/>
      <c r="H14" s="234"/>
      <c r="I14" s="234">
        <v>1</v>
      </c>
      <c r="J14" s="234">
        <v>1</v>
      </c>
      <c r="K14" s="234"/>
      <c r="L14" s="234"/>
      <c r="M14" s="234">
        <v>1</v>
      </c>
      <c r="N14" s="235"/>
      <c r="O14" s="234">
        <v>1</v>
      </c>
      <c r="P14" s="234"/>
      <c r="Q14" s="234"/>
      <c r="R14" s="234"/>
      <c r="S14" s="234">
        <v>1</v>
      </c>
      <c r="T14" s="234"/>
      <c r="U14" s="234">
        <v>1</v>
      </c>
      <c r="V14" s="234">
        <v>1</v>
      </c>
      <c r="W14" s="234"/>
      <c r="X14" s="234"/>
      <c r="Y14" s="234"/>
      <c r="Z14" s="234">
        <v>1</v>
      </c>
      <c r="AA14" s="234"/>
      <c r="AB14" s="234"/>
      <c r="AC14" s="234">
        <v>1</v>
      </c>
      <c r="AD14" s="234">
        <v>1</v>
      </c>
      <c r="AE14" s="234"/>
      <c r="AF14" s="234"/>
      <c r="AG14" s="236">
        <f t="shared" si="0"/>
        <v>58</v>
      </c>
      <c r="AH14" s="237" t="str">
        <f t="shared" si="1"/>
        <v>عادی</v>
      </c>
      <c r="AI14" s="68"/>
      <c r="AJ14" s="68"/>
      <c r="AK14" s="68"/>
      <c r="AL14" s="68"/>
    </row>
    <row r="15" spans="2:38" ht="24.6" customHeight="1" thickBot="1" x14ac:dyDescent="0.3">
      <c r="B15" s="100">
        <v>7</v>
      </c>
      <c r="C15" s="238" t="s">
        <v>290</v>
      </c>
      <c r="D15" s="239" t="s">
        <v>291</v>
      </c>
      <c r="E15" s="234"/>
      <c r="F15" s="234"/>
      <c r="G15" s="234">
        <v>1</v>
      </c>
      <c r="H15" s="234"/>
      <c r="I15" s="234">
        <v>1</v>
      </c>
      <c r="J15" s="234">
        <v>1</v>
      </c>
      <c r="K15" s="234"/>
      <c r="L15" s="234"/>
      <c r="M15" s="234">
        <v>1</v>
      </c>
      <c r="N15" s="235"/>
      <c r="O15" s="234">
        <v>1</v>
      </c>
      <c r="P15" s="234"/>
      <c r="Q15" s="234"/>
      <c r="R15" s="234"/>
      <c r="S15" s="234">
        <v>1</v>
      </c>
      <c r="T15" s="234">
        <v>1</v>
      </c>
      <c r="U15" s="234"/>
      <c r="V15" s="234">
        <v>1</v>
      </c>
      <c r="W15" s="234"/>
      <c r="X15" s="234"/>
      <c r="Y15" s="234"/>
      <c r="Z15" s="234">
        <v>1</v>
      </c>
      <c r="AA15" s="234"/>
      <c r="AB15" s="234"/>
      <c r="AC15" s="234">
        <v>1</v>
      </c>
      <c r="AD15" s="234">
        <v>1</v>
      </c>
      <c r="AE15" s="234"/>
      <c r="AF15" s="234"/>
      <c r="AG15" s="236">
        <f t="shared" si="0"/>
        <v>44</v>
      </c>
      <c r="AH15" s="237" t="str">
        <f t="shared" si="1"/>
        <v>عادی</v>
      </c>
    </row>
    <row r="16" spans="2:38" ht="24.6" customHeight="1" thickBot="1" x14ac:dyDescent="0.3">
      <c r="B16" s="100">
        <v>8</v>
      </c>
      <c r="C16" s="238" t="s">
        <v>292</v>
      </c>
      <c r="D16" s="239" t="s">
        <v>293</v>
      </c>
      <c r="E16" s="234"/>
      <c r="F16" s="234"/>
      <c r="G16" s="234">
        <v>1</v>
      </c>
      <c r="H16" s="234"/>
      <c r="I16" s="234">
        <v>1</v>
      </c>
      <c r="J16" s="234">
        <v>1</v>
      </c>
      <c r="K16" s="234"/>
      <c r="L16" s="234"/>
      <c r="M16" s="234">
        <v>1</v>
      </c>
      <c r="N16" s="235"/>
      <c r="O16" s="234">
        <v>1</v>
      </c>
      <c r="P16" s="234"/>
      <c r="Q16" s="234"/>
      <c r="R16" s="234"/>
      <c r="S16" s="234">
        <v>1</v>
      </c>
      <c r="T16" s="234">
        <v>1</v>
      </c>
      <c r="U16" s="234"/>
      <c r="V16" s="234">
        <v>1</v>
      </c>
      <c r="W16" s="234"/>
      <c r="X16" s="234"/>
      <c r="Y16" s="234"/>
      <c r="Z16" s="234">
        <v>1</v>
      </c>
      <c r="AA16" s="234"/>
      <c r="AB16" s="234"/>
      <c r="AC16" s="234">
        <v>1</v>
      </c>
      <c r="AD16" s="234">
        <v>1</v>
      </c>
      <c r="AE16" s="234"/>
      <c r="AF16" s="234"/>
      <c r="AG16" s="236">
        <f t="shared" si="0"/>
        <v>44</v>
      </c>
      <c r="AH16" s="237" t="str">
        <f t="shared" si="1"/>
        <v>عادی</v>
      </c>
    </row>
    <row r="17" spans="2:36" ht="24.6" customHeight="1" thickBot="1" x14ac:dyDescent="0.3">
      <c r="B17" s="100">
        <v>9</v>
      </c>
      <c r="C17" s="241" t="s">
        <v>294</v>
      </c>
      <c r="D17" s="239" t="s">
        <v>295</v>
      </c>
      <c r="E17" s="234"/>
      <c r="F17" s="234"/>
      <c r="G17" s="234">
        <v>1</v>
      </c>
      <c r="H17" s="234"/>
      <c r="I17" s="234">
        <v>1</v>
      </c>
      <c r="J17" s="234">
        <v>1</v>
      </c>
      <c r="K17" s="234"/>
      <c r="L17" s="234"/>
      <c r="M17" s="234">
        <v>1</v>
      </c>
      <c r="N17" s="235"/>
      <c r="O17" s="234">
        <v>1</v>
      </c>
      <c r="P17" s="234"/>
      <c r="Q17" s="234"/>
      <c r="R17" s="234"/>
      <c r="S17" s="234">
        <v>1</v>
      </c>
      <c r="T17" s="234">
        <v>1</v>
      </c>
      <c r="U17" s="234"/>
      <c r="V17" s="234">
        <v>1</v>
      </c>
      <c r="W17" s="234"/>
      <c r="X17" s="234"/>
      <c r="Y17" s="234"/>
      <c r="Z17" s="234">
        <v>1</v>
      </c>
      <c r="AA17" s="234"/>
      <c r="AB17" s="234"/>
      <c r="AC17" s="234">
        <v>1</v>
      </c>
      <c r="AD17" s="234">
        <v>1</v>
      </c>
      <c r="AE17" s="234"/>
      <c r="AF17" s="234"/>
      <c r="AG17" s="236">
        <f t="shared" si="0"/>
        <v>44</v>
      </c>
      <c r="AH17" s="237" t="str">
        <f t="shared" si="1"/>
        <v>عادی</v>
      </c>
    </row>
    <row r="18" spans="2:36" ht="24.6" customHeight="1" thickBot="1" x14ac:dyDescent="0.3">
      <c r="B18" s="100">
        <v>10</v>
      </c>
      <c r="C18" s="238" t="s">
        <v>296</v>
      </c>
      <c r="D18" s="239" t="s">
        <v>297</v>
      </c>
      <c r="E18" s="234"/>
      <c r="F18" s="234"/>
      <c r="G18" s="234">
        <v>1</v>
      </c>
      <c r="H18" s="234"/>
      <c r="I18" s="234">
        <v>1</v>
      </c>
      <c r="J18" s="234">
        <v>1</v>
      </c>
      <c r="K18" s="234"/>
      <c r="L18" s="234"/>
      <c r="M18" s="234">
        <v>1</v>
      </c>
      <c r="N18" s="235"/>
      <c r="O18" s="234">
        <v>1</v>
      </c>
      <c r="P18" s="234"/>
      <c r="Q18" s="234"/>
      <c r="R18" s="234"/>
      <c r="S18" s="234">
        <v>1</v>
      </c>
      <c r="T18" s="234">
        <v>1</v>
      </c>
      <c r="U18" s="234"/>
      <c r="V18" s="234">
        <v>1</v>
      </c>
      <c r="W18" s="234"/>
      <c r="X18" s="234"/>
      <c r="Y18" s="234"/>
      <c r="Z18" s="234">
        <v>1</v>
      </c>
      <c r="AA18" s="234"/>
      <c r="AB18" s="234"/>
      <c r="AC18" s="234">
        <v>1</v>
      </c>
      <c r="AD18" s="234">
        <v>1</v>
      </c>
      <c r="AE18" s="234"/>
      <c r="AF18" s="234"/>
      <c r="AG18" s="236">
        <f t="shared" si="0"/>
        <v>44</v>
      </c>
      <c r="AH18" s="237" t="str">
        <f t="shared" si="1"/>
        <v>عادی</v>
      </c>
    </row>
    <row r="19" spans="2:36" ht="24.6" customHeight="1" thickBot="1" x14ac:dyDescent="0.3">
      <c r="B19" s="100">
        <v>11</v>
      </c>
      <c r="C19" s="238" t="s">
        <v>298</v>
      </c>
      <c r="D19" s="239" t="s">
        <v>299</v>
      </c>
      <c r="E19" s="234"/>
      <c r="F19" s="234"/>
      <c r="G19" s="234">
        <v>1</v>
      </c>
      <c r="H19" s="234"/>
      <c r="I19" s="234">
        <v>1</v>
      </c>
      <c r="J19" s="234">
        <v>1</v>
      </c>
      <c r="K19" s="234"/>
      <c r="L19" s="234"/>
      <c r="M19" s="234">
        <v>1</v>
      </c>
      <c r="N19" s="235"/>
      <c r="O19" s="234">
        <v>1</v>
      </c>
      <c r="P19" s="234"/>
      <c r="Q19" s="234"/>
      <c r="R19" s="234"/>
      <c r="S19" s="234">
        <v>1</v>
      </c>
      <c r="T19" s="234">
        <v>1</v>
      </c>
      <c r="U19" s="234"/>
      <c r="V19" s="234">
        <v>1</v>
      </c>
      <c r="W19" s="234"/>
      <c r="X19" s="234"/>
      <c r="Y19" s="234"/>
      <c r="Z19" s="234">
        <v>1</v>
      </c>
      <c r="AA19" s="234"/>
      <c r="AB19" s="234"/>
      <c r="AC19" s="234">
        <v>1</v>
      </c>
      <c r="AD19" s="234">
        <v>1</v>
      </c>
      <c r="AE19" s="234"/>
      <c r="AF19" s="234"/>
      <c r="AG19" s="236">
        <f t="shared" si="0"/>
        <v>44</v>
      </c>
      <c r="AH19" s="237" t="str">
        <f t="shared" si="1"/>
        <v>عادی</v>
      </c>
    </row>
    <row r="20" spans="2:36" ht="24.6" customHeight="1" thickBot="1" x14ac:dyDescent="0.3">
      <c r="B20" s="100">
        <v>12</v>
      </c>
      <c r="C20" s="238" t="s">
        <v>300</v>
      </c>
      <c r="D20" s="239" t="s">
        <v>301</v>
      </c>
      <c r="E20" s="234"/>
      <c r="F20" s="234"/>
      <c r="G20" s="234">
        <v>1</v>
      </c>
      <c r="H20" s="234"/>
      <c r="I20" s="234">
        <v>1</v>
      </c>
      <c r="J20" s="234">
        <v>1</v>
      </c>
      <c r="K20" s="234"/>
      <c r="L20" s="234"/>
      <c r="M20" s="234">
        <v>1</v>
      </c>
      <c r="N20" s="235"/>
      <c r="O20" s="234">
        <v>1</v>
      </c>
      <c r="P20" s="234"/>
      <c r="Q20" s="234"/>
      <c r="R20" s="234"/>
      <c r="S20" s="234">
        <v>1</v>
      </c>
      <c r="T20" s="234">
        <v>1</v>
      </c>
      <c r="U20" s="234"/>
      <c r="V20" s="234">
        <v>1</v>
      </c>
      <c r="W20" s="234"/>
      <c r="X20" s="234"/>
      <c r="Y20" s="234"/>
      <c r="Z20" s="234">
        <v>1</v>
      </c>
      <c r="AA20" s="234"/>
      <c r="AB20" s="234"/>
      <c r="AC20" s="234">
        <v>1</v>
      </c>
      <c r="AD20" s="234">
        <v>1</v>
      </c>
      <c r="AE20" s="234"/>
      <c r="AF20" s="234"/>
      <c r="AG20" s="236">
        <f t="shared" si="0"/>
        <v>44</v>
      </c>
      <c r="AH20" s="237" t="str">
        <f t="shared" si="1"/>
        <v>عادی</v>
      </c>
    </row>
    <row r="21" spans="2:36" ht="24.6" customHeight="1" thickBot="1" x14ac:dyDescent="0.3">
      <c r="B21" s="100">
        <v>13</v>
      </c>
      <c r="C21" s="238" t="s">
        <v>302</v>
      </c>
      <c r="D21" s="239" t="s">
        <v>303</v>
      </c>
      <c r="E21" s="234">
        <v>1</v>
      </c>
      <c r="F21" s="234"/>
      <c r="G21" s="234"/>
      <c r="H21" s="234">
        <v>1</v>
      </c>
      <c r="I21" s="234"/>
      <c r="J21" s="234">
        <v>1</v>
      </c>
      <c r="K21" s="234"/>
      <c r="L21" s="234">
        <v>1</v>
      </c>
      <c r="M21" s="234"/>
      <c r="N21" s="235"/>
      <c r="O21" s="234">
        <v>1</v>
      </c>
      <c r="P21" s="234"/>
      <c r="Q21" s="234">
        <v>1</v>
      </c>
      <c r="R21" s="234"/>
      <c r="S21" s="234"/>
      <c r="T21" s="234">
        <v>1</v>
      </c>
      <c r="U21" s="234"/>
      <c r="V21" s="234">
        <v>1</v>
      </c>
      <c r="W21" s="234"/>
      <c r="X21" s="234"/>
      <c r="Y21" s="234"/>
      <c r="Z21" s="234">
        <v>1</v>
      </c>
      <c r="AA21" s="234"/>
      <c r="AB21" s="234"/>
      <c r="AC21" s="234">
        <v>1</v>
      </c>
      <c r="AD21" s="234">
        <v>1</v>
      </c>
      <c r="AE21" s="234"/>
      <c r="AF21" s="234"/>
      <c r="AG21" s="236">
        <f t="shared" si="0"/>
        <v>116</v>
      </c>
      <c r="AH21" s="237" t="str">
        <f t="shared" si="1"/>
        <v>کلیدی</v>
      </c>
      <c r="AI21" t="s">
        <v>509</v>
      </c>
      <c r="AJ21" t="s">
        <v>510</v>
      </c>
    </row>
    <row r="22" spans="2:36" ht="24.6" customHeight="1" thickBot="1" x14ac:dyDescent="0.3">
      <c r="B22" s="100">
        <v>14</v>
      </c>
      <c r="C22" s="238" t="s">
        <v>304</v>
      </c>
      <c r="D22" s="239" t="s">
        <v>305</v>
      </c>
      <c r="E22" s="234">
        <v>1</v>
      </c>
      <c r="F22" s="234"/>
      <c r="G22" s="234"/>
      <c r="H22" s="234"/>
      <c r="I22" s="234">
        <v>1</v>
      </c>
      <c r="J22" s="234">
        <v>1</v>
      </c>
      <c r="K22" s="234"/>
      <c r="L22" s="234">
        <v>1</v>
      </c>
      <c r="M22" s="234"/>
      <c r="N22" s="235"/>
      <c r="O22" s="234">
        <v>1</v>
      </c>
      <c r="P22" s="234"/>
      <c r="Q22" s="234"/>
      <c r="R22" s="234"/>
      <c r="S22" s="234">
        <v>1</v>
      </c>
      <c r="T22" s="234">
        <v>1</v>
      </c>
      <c r="U22" s="234"/>
      <c r="V22" s="234">
        <v>1</v>
      </c>
      <c r="W22" s="234"/>
      <c r="X22" s="234"/>
      <c r="Y22" s="234"/>
      <c r="Z22" s="234">
        <v>1</v>
      </c>
      <c r="AA22" s="234"/>
      <c r="AB22" s="234"/>
      <c r="AC22" s="234">
        <v>1</v>
      </c>
      <c r="AD22" s="234">
        <v>1</v>
      </c>
      <c r="AE22" s="234"/>
      <c r="AF22" s="234"/>
      <c r="AG22" s="236">
        <f t="shared" si="0"/>
        <v>76</v>
      </c>
      <c r="AH22" s="237" t="str">
        <f t="shared" si="1"/>
        <v>عادی</v>
      </c>
    </row>
    <row r="23" spans="2:36" ht="24.6" customHeight="1" thickBot="1" x14ac:dyDescent="0.3">
      <c r="B23" s="100">
        <v>15</v>
      </c>
      <c r="C23" s="238" t="s">
        <v>306</v>
      </c>
      <c r="D23" s="239" t="s">
        <v>307</v>
      </c>
      <c r="E23" s="234"/>
      <c r="F23" s="234">
        <v>1</v>
      </c>
      <c r="G23" s="234"/>
      <c r="H23" s="234">
        <v>1</v>
      </c>
      <c r="I23" s="234"/>
      <c r="J23" s="234">
        <v>1</v>
      </c>
      <c r="K23" s="234"/>
      <c r="L23" s="234"/>
      <c r="M23" s="234">
        <v>1</v>
      </c>
      <c r="N23" s="235"/>
      <c r="O23" s="234">
        <v>1</v>
      </c>
      <c r="P23" s="234"/>
      <c r="Q23" s="234"/>
      <c r="R23" s="234"/>
      <c r="S23" s="234">
        <v>1</v>
      </c>
      <c r="T23" s="234">
        <v>1</v>
      </c>
      <c r="U23" s="234"/>
      <c r="V23" s="234">
        <v>1</v>
      </c>
      <c r="W23" s="234"/>
      <c r="X23" s="234"/>
      <c r="Y23" s="234"/>
      <c r="Z23" s="234">
        <v>1</v>
      </c>
      <c r="AA23" s="234"/>
      <c r="AB23" s="234"/>
      <c r="AC23" s="234">
        <v>1</v>
      </c>
      <c r="AD23" s="234">
        <v>1</v>
      </c>
      <c r="AE23" s="234"/>
      <c r="AF23" s="234"/>
      <c r="AG23" s="236">
        <f t="shared" si="0"/>
        <v>63</v>
      </c>
      <c r="AH23" s="237" t="str">
        <f t="shared" si="1"/>
        <v>عادی</v>
      </c>
    </row>
    <row r="24" spans="2:36" ht="24.6" customHeight="1" thickBot="1" x14ac:dyDescent="0.3">
      <c r="B24" s="100">
        <v>16</v>
      </c>
      <c r="C24" s="238" t="s">
        <v>306</v>
      </c>
      <c r="D24" s="239" t="s">
        <v>308</v>
      </c>
      <c r="E24" s="234"/>
      <c r="F24" s="234">
        <v>1</v>
      </c>
      <c r="G24" s="234"/>
      <c r="H24" s="234">
        <v>1</v>
      </c>
      <c r="I24" s="234"/>
      <c r="J24" s="234">
        <v>1</v>
      </c>
      <c r="K24" s="234"/>
      <c r="L24" s="234"/>
      <c r="M24" s="234">
        <v>1</v>
      </c>
      <c r="N24" s="235"/>
      <c r="O24" s="234">
        <v>1</v>
      </c>
      <c r="P24" s="234"/>
      <c r="Q24" s="234"/>
      <c r="R24" s="234">
        <v>1</v>
      </c>
      <c r="S24" s="234"/>
      <c r="T24" s="234">
        <v>1</v>
      </c>
      <c r="U24" s="234"/>
      <c r="V24" s="234">
        <v>1</v>
      </c>
      <c r="W24" s="234"/>
      <c r="X24" s="234"/>
      <c r="Y24" s="234"/>
      <c r="Z24" s="234">
        <v>1</v>
      </c>
      <c r="AA24" s="234"/>
      <c r="AB24" s="234"/>
      <c r="AC24" s="234">
        <v>1</v>
      </c>
      <c r="AD24" s="234">
        <v>1</v>
      </c>
      <c r="AE24" s="234"/>
      <c r="AF24" s="234"/>
      <c r="AG24" s="236">
        <f t="shared" si="0"/>
        <v>78</v>
      </c>
      <c r="AH24" s="237" t="str">
        <f t="shared" si="1"/>
        <v>عادی</v>
      </c>
    </row>
    <row r="25" spans="2:36" ht="24.6" customHeight="1" thickBot="1" x14ac:dyDescent="0.3">
      <c r="B25" s="100">
        <v>17</v>
      </c>
      <c r="C25" s="238" t="s">
        <v>309</v>
      </c>
      <c r="D25" s="239" t="s">
        <v>310</v>
      </c>
      <c r="E25" s="234">
        <v>1</v>
      </c>
      <c r="F25" s="234"/>
      <c r="G25" s="234"/>
      <c r="H25" s="234">
        <v>1</v>
      </c>
      <c r="I25" s="234"/>
      <c r="J25" s="234">
        <v>1</v>
      </c>
      <c r="K25" s="234"/>
      <c r="L25" s="234">
        <v>1</v>
      </c>
      <c r="M25" s="234"/>
      <c r="N25" s="235"/>
      <c r="O25" s="234">
        <v>1</v>
      </c>
      <c r="P25" s="234"/>
      <c r="Q25" s="234">
        <v>1</v>
      </c>
      <c r="R25" s="234"/>
      <c r="S25" s="234"/>
      <c r="T25" s="234">
        <v>1</v>
      </c>
      <c r="U25" s="234"/>
      <c r="V25" s="234">
        <v>1</v>
      </c>
      <c r="W25" s="234"/>
      <c r="X25" s="234"/>
      <c r="Y25" s="234"/>
      <c r="Z25" s="234">
        <v>1</v>
      </c>
      <c r="AA25" s="234"/>
      <c r="AB25" s="234"/>
      <c r="AC25" s="234">
        <v>1</v>
      </c>
      <c r="AD25" s="234">
        <v>1</v>
      </c>
      <c r="AE25" s="234"/>
      <c r="AF25" s="234"/>
      <c r="AG25" s="236">
        <f t="shared" si="0"/>
        <v>116</v>
      </c>
      <c r="AH25" s="237" t="str">
        <f t="shared" si="1"/>
        <v>کلیدی</v>
      </c>
      <c r="AI25" t="s">
        <v>511</v>
      </c>
    </row>
    <row r="26" spans="2:36" ht="24.6" customHeight="1" thickBot="1" x14ac:dyDescent="0.3">
      <c r="B26" s="100">
        <v>18</v>
      </c>
      <c r="C26" s="241" t="s">
        <v>311</v>
      </c>
      <c r="D26" s="239" t="s">
        <v>312</v>
      </c>
      <c r="E26" s="234"/>
      <c r="F26" s="234"/>
      <c r="G26" s="234">
        <v>1</v>
      </c>
      <c r="H26" s="234"/>
      <c r="I26" s="234">
        <v>1</v>
      </c>
      <c r="J26" s="234">
        <v>1</v>
      </c>
      <c r="K26" s="234"/>
      <c r="L26" s="234">
        <v>1</v>
      </c>
      <c r="M26" s="234"/>
      <c r="N26" s="235"/>
      <c r="O26" s="234">
        <v>1</v>
      </c>
      <c r="P26" s="234"/>
      <c r="Q26" s="234"/>
      <c r="R26" s="234">
        <v>1</v>
      </c>
      <c r="S26" s="234"/>
      <c r="T26" s="234">
        <v>1</v>
      </c>
      <c r="U26" s="234"/>
      <c r="V26" s="234">
        <v>1</v>
      </c>
      <c r="W26" s="234"/>
      <c r="X26" s="234"/>
      <c r="Y26" s="234"/>
      <c r="Z26" s="234">
        <v>1</v>
      </c>
      <c r="AA26" s="234"/>
      <c r="AB26" s="234"/>
      <c r="AC26" s="234">
        <v>1</v>
      </c>
      <c r="AD26" s="234">
        <v>1</v>
      </c>
      <c r="AE26" s="234"/>
      <c r="AF26" s="234"/>
      <c r="AG26" s="236">
        <f t="shared" si="0"/>
        <v>61</v>
      </c>
      <c r="AH26" s="237" t="str">
        <f t="shared" si="1"/>
        <v>عادی</v>
      </c>
    </row>
    <row r="27" spans="2:36" ht="24.6" customHeight="1" thickBot="1" x14ac:dyDescent="0.3">
      <c r="B27" s="100">
        <v>19</v>
      </c>
      <c r="C27" s="238" t="s">
        <v>313</v>
      </c>
      <c r="D27" s="239" t="s">
        <v>314</v>
      </c>
      <c r="E27" s="234"/>
      <c r="F27" s="234"/>
      <c r="G27" s="234">
        <v>1</v>
      </c>
      <c r="H27" s="234"/>
      <c r="I27" s="234">
        <v>1</v>
      </c>
      <c r="J27" s="234">
        <v>1</v>
      </c>
      <c r="K27" s="234"/>
      <c r="L27" s="234">
        <v>1</v>
      </c>
      <c r="M27" s="234"/>
      <c r="N27" s="235"/>
      <c r="O27" s="234">
        <v>1</v>
      </c>
      <c r="P27" s="234"/>
      <c r="Q27" s="234"/>
      <c r="R27" s="234"/>
      <c r="S27" s="234">
        <v>1</v>
      </c>
      <c r="T27" s="234">
        <v>1</v>
      </c>
      <c r="U27" s="234"/>
      <c r="V27" s="234">
        <v>1</v>
      </c>
      <c r="W27" s="234"/>
      <c r="X27" s="234"/>
      <c r="Y27" s="234"/>
      <c r="Z27" s="234">
        <v>1</v>
      </c>
      <c r="AA27" s="234"/>
      <c r="AB27" s="234"/>
      <c r="AC27" s="234">
        <v>1</v>
      </c>
      <c r="AD27" s="234">
        <v>1</v>
      </c>
      <c r="AE27" s="234"/>
      <c r="AF27" s="234"/>
      <c r="AG27" s="236">
        <f t="shared" si="0"/>
        <v>46</v>
      </c>
      <c r="AH27" s="237" t="str">
        <f t="shared" si="1"/>
        <v>عادی</v>
      </c>
    </row>
    <row r="28" spans="2:36" ht="24.6" customHeight="1" thickBot="1" x14ac:dyDescent="0.3">
      <c r="B28" s="100">
        <v>20</v>
      </c>
      <c r="C28" s="238" t="s">
        <v>315</v>
      </c>
      <c r="D28" s="239" t="s">
        <v>316</v>
      </c>
      <c r="E28" s="234"/>
      <c r="F28" s="234"/>
      <c r="G28" s="234">
        <v>1</v>
      </c>
      <c r="H28" s="234"/>
      <c r="I28" s="234">
        <v>1</v>
      </c>
      <c r="J28" s="234">
        <v>1</v>
      </c>
      <c r="K28" s="234"/>
      <c r="L28" s="234">
        <v>1</v>
      </c>
      <c r="M28" s="234"/>
      <c r="N28" s="235"/>
      <c r="O28" s="234">
        <v>1</v>
      </c>
      <c r="P28" s="234"/>
      <c r="Q28" s="234"/>
      <c r="R28" s="234"/>
      <c r="S28" s="234">
        <v>1</v>
      </c>
      <c r="T28" s="234">
        <v>1</v>
      </c>
      <c r="U28" s="234"/>
      <c r="V28" s="234">
        <v>1</v>
      </c>
      <c r="W28" s="234"/>
      <c r="X28" s="234"/>
      <c r="Y28" s="234"/>
      <c r="Z28" s="234">
        <v>1</v>
      </c>
      <c r="AA28" s="234"/>
      <c r="AB28" s="234"/>
      <c r="AC28" s="234">
        <v>1</v>
      </c>
      <c r="AD28" s="234">
        <v>1</v>
      </c>
      <c r="AE28" s="234"/>
      <c r="AF28" s="234"/>
      <c r="AG28" s="236">
        <f t="shared" si="0"/>
        <v>46</v>
      </c>
      <c r="AH28" s="237" t="str">
        <f t="shared" si="1"/>
        <v>عادی</v>
      </c>
    </row>
    <row r="29" spans="2:36" ht="24.6" customHeight="1" thickBot="1" x14ac:dyDescent="0.3">
      <c r="B29" s="100">
        <v>21</v>
      </c>
      <c r="C29" s="238" t="s">
        <v>317</v>
      </c>
      <c r="D29" s="239" t="s">
        <v>318</v>
      </c>
      <c r="E29" s="234"/>
      <c r="F29" s="234">
        <v>1</v>
      </c>
      <c r="G29" s="234"/>
      <c r="H29" s="234"/>
      <c r="I29" s="234">
        <v>1</v>
      </c>
      <c r="J29" s="234">
        <v>1</v>
      </c>
      <c r="K29" s="234"/>
      <c r="L29" s="234"/>
      <c r="M29" s="234">
        <v>1</v>
      </c>
      <c r="N29" s="235"/>
      <c r="O29" s="234">
        <v>1</v>
      </c>
      <c r="P29" s="234"/>
      <c r="Q29" s="234"/>
      <c r="R29" s="234"/>
      <c r="S29" s="234">
        <v>1</v>
      </c>
      <c r="T29" s="234"/>
      <c r="U29" s="234">
        <v>1</v>
      </c>
      <c r="V29" s="234">
        <v>1</v>
      </c>
      <c r="W29" s="234"/>
      <c r="X29" s="234"/>
      <c r="Y29" s="234"/>
      <c r="Z29" s="234">
        <v>1</v>
      </c>
      <c r="AA29" s="234"/>
      <c r="AB29" s="234"/>
      <c r="AC29" s="234">
        <v>1</v>
      </c>
      <c r="AD29" s="234"/>
      <c r="AE29" s="234"/>
      <c r="AF29" s="234">
        <v>1</v>
      </c>
      <c r="AG29" s="236">
        <f t="shared" si="0"/>
        <v>53</v>
      </c>
      <c r="AH29" s="237" t="str">
        <f t="shared" si="1"/>
        <v>عادی</v>
      </c>
    </row>
    <row r="30" spans="2:36" ht="24.6" customHeight="1" thickBot="1" x14ac:dyDescent="0.3">
      <c r="B30" s="100">
        <v>22</v>
      </c>
      <c r="C30" s="238" t="s">
        <v>319</v>
      </c>
      <c r="D30" s="239" t="s">
        <v>320</v>
      </c>
      <c r="E30" s="234"/>
      <c r="F30" s="234">
        <v>1</v>
      </c>
      <c r="G30" s="234"/>
      <c r="H30" s="234"/>
      <c r="I30" s="234">
        <v>1</v>
      </c>
      <c r="J30" s="234">
        <v>1</v>
      </c>
      <c r="K30" s="234"/>
      <c r="L30" s="234"/>
      <c r="M30" s="234">
        <v>1</v>
      </c>
      <c r="N30" s="235"/>
      <c r="O30" s="234">
        <v>1</v>
      </c>
      <c r="P30" s="234"/>
      <c r="Q30" s="234"/>
      <c r="R30" s="234"/>
      <c r="S30" s="234">
        <v>1</v>
      </c>
      <c r="T30" s="234"/>
      <c r="U30" s="234">
        <v>1</v>
      </c>
      <c r="V30" s="234">
        <v>1</v>
      </c>
      <c r="W30" s="234"/>
      <c r="X30" s="234"/>
      <c r="Y30" s="234"/>
      <c r="Z30" s="234">
        <v>1</v>
      </c>
      <c r="AA30" s="234"/>
      <c r="AB30" s="234"/>
      <c r="AC30" s="234">
        <v>1</v>
      </c>
      <c r="AD30" s="234"/>
      <c r="AE30" s="234"/>
      <c r="AF30" s="234">
        <v>1</v>
      </c>
      <c r="AG30" s="236">
        <f t="shared" si="0"/>
        <v>53</v>
      </c>
      <c r="AH30" s="237" t="str">
        <f t="shared" si="1"/>
        <v>عادی</v>
      </c>
    </row>
    <row r="31" spans="2:36" ht="24.6" customHeight="1" thickBot="1" x14ac:dyDescent="0.3">
      <c r="B31" s="100">
        <v>23</v>
      </c>
      <c r="C31" s="240" t="s">
        <v>321</v>
      </c>
      <c r="D31" s="239" t="s">
        <v>322</v>
      </c>
      <c r="E31" s="234"/>
      <c r="F31" s="234"/>
      <c r="G31" s="234">
        <v>1</v>
      </c>
      <c r="H31" s="234">
        <v>1</v>
      </c>
      <c r="I31" s="234"/>
      <c r="J31" s="234">
        <v>1</v>
      </c>
      <c r="K31" s="234"/>
      <c r="L31" s="234"/>
      <c r="M31" s="234">
        <v>1</v>
      </c>
      <c r="N31" s="235"/>
      <c r="O31" s="234">
        <v>1</v>
      </c>
      <c r="P31" s="234"/>
      <c r="Q31" s="234"/>
      <c r="R31" s="234"/>
      <c r="S31" s="234">
        <v>1</v>
      </c>
      <c r="T31" s="234"/>
      <c r="U31" s="234">
        <v>1</v>
      </c>
      <c r="V31" s="234">
        <v>1</v>
      </c>
      <c r="W31" s="234"/>
      <c r="X31" s="234"/>
      <c r="Y31" s="234"/>
      <c r="Z31" s="234">
        <v>1</v>
      </c>
      <c r="AA31" s="234"/>
      <c r="AB31" s="234"/>
      <c r="AC31" s="234">
        <v>1</v>
      </c>
      <c r="AD31" s="234">
        <v>1</v>
      </c>
      <c r="AE31" s="234"/>
      <c r="AF31" s="234"/>
      <c r="AG31" s="236">
        <f t="shared" si="0"/>
        <v>59</v>
      </c>
      <c r="AH31" s="237" t="str">
        <f t="shared" si="1"/>
        <v>عادی</v>
      </c>
    </row>
    <row r="32" spans="2:36" ht="24.6" customHeight="1" thickBot="1" x14ac:dyDescent="0.3">
      <c r="B32" s="100">
        <v>24</v>
      </c>
      <c r="C32" s="238" t="s">
        <v>323</v>
      </c>
      <c r="D32" s="239" t="s">
        <v>324</v>
      </c>
      <c r="E32" s="234"/>
      <c r="F32" s="234">
        <v>1</v>
      </c>
      <c r="G32" s="234"/>
      <c r="H32" s="234"/>
      <c r="I32" s="234">
        <v>1</v>
      </c>
      <c r="J32" s="234">
        <v>1</v>
      </c>
      <c r="K32" s="234"/>
      <c r="L32" s="234"/>
      <c r="M32" s="234">
        <v>1</v>
      </c>
      <c r="N32" s="235"/>
      <c r="O32" s="234">
        <v>1</v>
      </c>
      <c r="P32" s="234"/>
      <c r="Q32" s="234"/>
      <c r="R32" s="234"/>
      <c r="S32" s="234">
        <v>1</v>
      </c>
      <c r="T32" s="234"/>
      <c r="U32" s="234">
        <v>1</v>
      </c>
      <c r="V32" s="234">
        <v>1</v>
      </c>
      <c r="W32" s="234"/>
      <c r="X32" s="234"/>
      <c r="Y32" s="234"/>
      <c r="Z32" s="234">
        <v>1</v>
      </c>
      <c r="AA32" s="234"/>
      <c r="AB32" s="234"/>
      <c r="AC32" s="234">
        <v>1</v>
      </c>
      <c r="AD32" s="234">
        <v>1</v>
      </c>
      <c r="AE32" s="234"/>
      <c r="AF32" s="234"/>
      <c r="AG32" s="236">
        <f t="shared" si="0"/>
        <v>58</v>
      </c>
      <c r="AH32" s="237" t="str">
        <f t="shared" si="1"/>
        <v>عادی</v>
      </c>
    </row>
    <row r="33" spans="2:34" ht="24.6" customHeight="1" thickBot="1" x14ac:dyDescent="0.3">
      <c r="B33" s="100">
        <v>25</v>
      </c>
      <c r="C33" s="238" t="s">
        <v>325</v>
      </c>
      <c r="D33" s="239" t="s">
        <v>326</v>
      </c>
      <c r="E33" s="234"/>
      <c r="F33" s="234"/>
      <c r="G33" s="234">
        <v>1</v>
      </c>
      <c r="H33" s="234"/>
      <c r="I33" s="234">
        <v>1</v>
      </c>
      <c r="J33" s="234"/>
      <c r="K33" s="234">
        <v>1</v>
      </c>
      <c r="L33" s="234"/>
      <c r="M33" s="234">
        <v>1</v>
      </c>
      <c r="N33" s="235"/>
      <c r="O33" s="234">
        <v>1</v>
      </c>
      <c r="P33" s="234"/>
      <c r="Q33" s="234"/>
      <c r="R33" s="234"/>
      <c r="S33" s="234">
        <v>1</v>
      </c>
      <c r="T33" s="234">
        <v>1</v>
      </c>
      <c r="U33" s="234"/>
      <c r="V33" s="234">
        <v>1</v>
      </c>
      <c r="W33" s="234"/>
      <c r="X33" s="234"/>
      <c r="Y33" s="234"/>
      <c r="Z33" s="234">
        <v>1</v>
      </c>
      <c r="AA33" s="234"/>
      <c r="AB33" s="234"/>
      <c r="AC33" s="234">
        <v>1</v>
      </c>
      <c r="AD33" s="234">
        <v>1</v>
      </c>
      <c r="AE33" s="234"/>
      <c r="AF33" s="234"/>
      <c r="AG33" s="236">
        <f t="shared" si="0"/>
        <v>14</v>
      </c>
      <c r="AH33" s="237" t="str">
        <f t="shared" si="1"/>
        <v>عادی</v>
      </c>
    </row>
    <row r="34" spans="2:34" ht="24.6" customHeight="1" thickBot="1" x14ac:dyDescent="0.3">
      <c r="B34" s="100">
        <v>26</v>
      </c>
      <c r="C34" s="238" t="s">
        <v>327</v>
      </c>
      <c r="D34" s="239" t="s">
        <v>328</v>
      </c>
      <c r="E34" s="234"/>
      <c r="F34" s="234"/>
      <c r="G34" s="234">
        <v>1</v>
      </c>
      <c r="H34" s="234"/>
      <c r="I34" s="234">
        <v>1</v>
      </c>
      <c r="J34" s="234"/>
      <c r="K34" s="234">
        <v>1</v>
      </c>
      <c r="L34" s="234"/>
      <c r="M34" s="234">
        <v>1</v>
      </c>
      <c r="N34" s="235"/>
      <c r="O34" s="234">
        <v>1</v>
      </c>
      <c r="P34" s="234"/>
      <c r="Q34" s="234"/>
      <c r="R34" s="234"/>
      <c r="S34" s="234">
        <v>1</v>
      </c>
      <c r="T34" s="234">
        <v>1</v>
      </c>
      <c r="U34" s="234"/>
      <c r="V34" s="234">
        <v>1</v>
      </c>
      <c r="W34" s="234"/>
      <c r="X34" s="234"/>
      <c r="Y34" s="234"/>
      <c r="Z34" s="234">
        <v>1</v>
      </c>
      <c r="AA34" s="234"/>
      <c r="AB34" s="234"/>
      <c r="AC34" s="234">
        <v>1</v>
      </c>
      <c r="AD34" s="234">
        <v>1</v>
      </c>
      <c r="AE34" s="234"/>
      <c r="AF34" s="234"/>
      <c r="AG34" s="236">
        <f t="shared" si="0"/>
        <v>14</v>
      </c>
      <c r="AH34" s="237" t="str">
        <f t="shared" si="1"/>
        <v>عادی</v>
      </c>
    </row>
    <row r="35" spans="2:34" ht="24.6" customHeight="1" thickBot="1" x14ac:dyDescent="0.3">
      <c r="B35" s="100">
        <v>27</v>
      </c>
      <c r="C35" s="238" t="s">
        <v>329</v>
      </c>
      <c r="D35" s="239" t="s">
        <v>330</v>
      </c>
      <c r="E35" s="234"/>
      <c r="F35" s="234"/>
      <c r="G35" s="234">
        <v>1</v>
      </c>
      <c r="H35" s="234"/>
      <c r="I35" s="234">
        <v>1</v>
      </c>
      <c r="J35" s="234"/>
      <c r="K35" s="234">
        <v>1</v>
      </c>
      <c r="L35" s="234"/>
      <c r="M35" s="234">
        <v>1</v>
      </c>
      <c r="N35" s="235"/>
      <c r="O35" s="234">
        <v>1</v>
      </c>
      <c r="P35" s="234"/>
      <c r="Q35" s="234"/>
      <c r="R35" s="234"/>
      <c r="S35" s="234">
        <v>1</v>
      </c>
      <c r="T35" s="234">
        <v>1</v>
      </c>
      <c r="U35" s="234"/>
      <c r="V35" s="234">
        <v>1</v>
      </c>
      <c r="W35" s="234"/>
      <c r="X35" s="234"/>
      <c r="Y35" s="234"/>
      <c r="Z35" s="234">
        <v>1</v>
      </c>
      <c r="AA35" s="234"/>
      <c r="AB35" s="234"/>
      <c r="AC35" s="234">
        <v>1</v>
      </c>
      <c r="AD35" s="234">
        <v>1</v>
      </c>
      <c r="AE35" s="234"/>
      <c r="AF35" s="234"/>
      <c r="AG35" s="236">
        <f t="shared" si="0"/>
        <v>14</v>
      </c>
      <c r="AH35" s="237" t="str">
        <f t="shared" si="1"/>
        <v>عادی</v>
      </c>
    </row>
    <row r="36" spans="2:34" ht="24.6" customHeight="1" thickBot="1" x14ac:dyDescent="0.3">
      <c r="B36" s="100">
        <v>28</v>
      </c>
      <c r="C36" s="238" t="s">
        <v>331</v>
      </c>
      <c r="D36" s="239" t="s">
        <v>332</v>
      </c>
      <c r="E36" s="234"/>
      <c r="F36" s="234"/>
      <c r="G36" s="234">
        <v>1</v>
      </c>
      <c r="H36" s="234"/>
      <c r="I36" s="234">
        <v>1</v>
      </c>
      <c r="J36" s="234"/>
      <c r="K36" s="234">
        <v>1</v>
      </c>
      <c r="L36" s="234"/>
      <c r="M36" s="234">
        <v>1</v>
      </c>
      <c r="N36" s="235"/>
      <c r="O36" s="234">
        <v>1</v>
      </c>
      <c r="P36" s="234"/>
      <c r="Q36" s="234"/>
      <c r="R36" s="234"/>
      <c r="S36" s="234">
        <v>1</v>
      </c>
      <c r="T36" s="234">
        <v>1</v>
      </c>
      <c r="U36" s="234"/>
      <c r="V36" s="234">
        <v>1</v>
      </c>
      <c r="W36" s="234"/>
      <c r="X36" s="234"/>
      <c r="Y36" s="234"/>
      <c r="Z36" s="234">
        <v>1</v>
      </c>
      <c r="AA36" s="234"/>
      <c r="AB36" s="234"/>
      <c r="AC36" s="234">
        <v>1</v>
      </c>
      <c r="AD36" s="234">
        <v>1</v>
      </c>
      <c r="AE36" s="234"/>
      <c r="AF36" s="234"/>
      <c r="AG36" s="236">
        <f t="shared" si="0"/>
        <v>14</v>
      </c>
      <c r="AH36" s="237" t="str">
        <f t="shared" si="1"/>
        <v>عادی</v>
      </c>
    </row>
    <row r="37" spans="2:34" ht="24.6" customHeight="1" thickBot="1" x14ac:dyDescent="0.3">
      <c r="B37" s="100">
        <v>29</v>
      </c>
      <c r="C37" s="238" t="s">
        <v>333</v>
      </c>
      <c r="D37" s="239" t="s">
        <v>334</v>
      </c>
      <c r="E37" s="234"/>
      <c r="F37" s="234"/>
      <c r="G37" s="234">
        <v>1</v>
      </c>
      <c r="H37" s="234"/>
      <c r="I37" s="234">
        <v>1</v>
      </c>
      <c r="J37" s="234"/>
      <c r="K37" s="234">
        <v>1</v>
      </c>
      <c r="L37" s="234">
        <v>1</v>
      </c>
      <c r="M37" s="234"/>
      <c r="N37" s="235"/>
      <c r="O37" s="234">
        <v>1</v>
      </c>
      <c r="P37" s="234"/>
      <c r="Q37" s="234"/>
      <c r="R37" s="234"/>
      <c r="S37" s="234">
        <v>1</v>
      </c>
      <c r="T37" s="234">
        <v>1</v>
      </c>
      <c r="U37" s="234"/>
      <c r="V37" s="234">
        <v>1</v>
      </c>
      <c r="W37" s="234"/>
      <c r="X37" s="234"/>
      <c r="Y37" s="234"/>
      <c r="Z37" s="234">
        <v>1</v>
      </c>
      <c r="AA37" s="234"/>
      <c r="AB37" s="234"/>
      <c r="AC37" s="234">
        <v>1</v>
      </c>
      <c r="AD37" s="234">
        <v>1</v>
      </c>
      <c r="AE37" s="234"/>
      <c r="AF37" s="234"/>
      <c r="AG37" s="236">
        <f t="shared" si="0"/>
        <v>16</v>
      </c>
      <c r="AH37" s="237" t="str">
        <f t="shared" si="1"/>
        <v>عادی</v>
      </c>
    </row>
    <row r="38" spans="2:34" ht="24.6" customHeight="1" thickBot="1" x14ac:dyDescent="0.3">
      <c r="B38" s="100">
        <v>30</v>
      </c>
      <c r="C38" s="238" t="s">
        <v>335</v>
      </c>
      <c r="D38" s="239" t="s">
        <v>336</v>
      </c>
      <c r="E38" s="234"/>
      <c r="F38" s="234"/>
      <c r="G38" s="234">
        <v>1</v>
      </c>
      <c r="H38" s="234"/>
      <c r="I38" s="234">
        <v>1</v>
      </c>
      <c r="J38" s="234">
        <v>1</v>
      </c>
      <c r="K38" s="234"/>
      <c r="L38" s="234"/>
      <c r="M38" s="234">
        <v>1</v>
      </c>
      <c r="N38" s="235"/>
      <c r="O38" s="234">
        <v>1</v>
      </c>
      <c r="P38" s="234"/>
      <c r="Q38" s="234"/>
      <c r="R38" s="234"/>
      <c r="S38" s="234">
        <v>1</v>
      </c>
      <c r="T38" s="234">
        <v>1</v>
      </c>
      <c r="U38" s="234"/>
      <c r="V38" s="234">
        <v>1</v>
      </c>
      <c r="W38" s="234"/>
      <c r="X38" s="234"/>
      <c r="Y38" s="234"/>
      <c r="Z38" s="234">
        <v>1</v>
      </c>
      <c r="AA38" s="234"/>
      <c r="AB38" s="234"/>
      <c r="AC38" s="234">
        <v>1</v>
      </c>
      <c r="AD38" s="234">
        <v>1</v>
      </c>
      <c r="AE38" s="234"/>
      <c r="AF38" s="234"/>
      <c r="AG38" s="236">
        <f t="shared" si="0"/>
        <v>44</v>
      </c>
      <c r="AH38" s="237" t="str">
        <f t="shared" si="1"/>
        <v>عادی</v>
      </c>
    </row>
    <row r="39" spans="2:34" ht="24.6" customHeight="1" thickBot="1" x14ac:dyDescent="0.3">
      <c r="B39" s="100">
        <v>31</v>
      </c>
      <c r="C39" s="238" t="s">
        <v>337</v>
      </c>
      <c r="D39" s="239" t="s">
        <v>338</v>
      </c>
      <c r="E39" s="234">
        <v>1</v>
      </c>
      <c r="F39" s="234"/>
      <c r="G39" s="234"/>
      <c r="H39" s="234">
        <v>1</v>
      </c>
      <c r="I39" s="234"/>
      <c r="J39" s="234"/>
      <c r="K39" s="234">
        <v>1</v>
      </c>
      <c r="L39" s="234">
        <v>1</v>
      </c>
      <c r="M39" s="234"/>
      <c r="N39" s="235"/>
      <c r="O39" s="234">
        <v>1</v>
      </c>
      <c r="P39" s="234"/>
      <c r="Q39" s="234"/>
      <c r="R39" s="234"/>
      <c r="S39" s="234">
        <v>1</v>
      </c>
      <c r="T39" s="234">
        <v>1</v>
      </c>
      <c r="U39" s="234"/>
      <c r="V39" s="234">
        <v>1</v>
      </c>
      <c r="W39" s="234"/>
      <c r="X39" s="234"/>
      <c r="Y39" s="234"/>
      <c r="Z39" s="234">
        <v>1</v>
      </c>
      <c r="AA39" s="234"/>
      <c r="AB39" s="234"/>
      <c r="AC39" s="234">
        <v>1</v>
      </c>
      <c r="AD39" s="234">
        <v>1</v>
      </c>
      <c r="AE39" s="234"/>
      <c r="AF39" s="234"/>
      <c r="AG39" s="236">
        <f t="shared" si="0"/>
        <v>56</v>
      </c>
      <c r="AH39" s="237" t="str">
        <f t="shared" si="1"/>
        <v>عادی</v>
      </c>
    </row>
    <row r="40" spans="2:34" ht="24.6" customHeight="1" thickBot="1" x14ac:dyDescent="0.3">
      <c r="B40" s="100">
        <v>32</v>
      </c>
      <c r="C40" s="238" t="s">
        <v>339</v>
      </c>
      <c r="D40" s="239" t="s">
        <v>340</v>
      </c>
      <c r="E40" s="234"/>
      <c r="F40" s="234"/>
      <c r="G40" s="234">
        <v>1</v>
      </c>
      <c r="H40" s="234"/>
      <c r="I40" s="234">
        <v>1</v>
      </c>
      <c r="J40" s="234"/>
      <c r="K40" s="234">
        <v>1</v>
      </c>
      <c r="L40" s="234"/>
      <c r="M40" s="234">
        <v>1</v>
      </c>
      <c r="N40" s="235"/>
      <c r="O40" s="234">
        <v>1</v>
      </c>
      <c r="P40" s="234"/>
      <c r="Q40" s="234"/>
      <c r="R40" s="234">
        <v>1</v>
      </c>
      <c r="S40" s="234"/>
      <c r="T40" s="234">
        <v>1</v>
      </c>
      <c r="U40" s="234"/>
      <c r="V40" s="234">
        <v>1</v>
      </c>
      <c r="W40" s="234"/>
      <c r="X40" s="234"/>
      <c r="Y40" s="234"/>
      <c r="Z40" s="234">
        <v>1</v>
      </c>
      <c r="AA40" s="234"/>
      <c r="AB40" s="234"/>
      <c r="AC40" s="234">
        <v>1</v>
      </c>
      <c r="AD40" s="234">
        <v>1</v>
      </c>
      <c r="AE40" s="234"/>
      <c r="AF40" s="234"/>
      <c r="AG40" s="236">
        <f t="shared" si="0"/>
        <v>29</v>
      </c>
      <c r="AH40" s="237" t="str">
        <f t="shared" si="1"/>
        <v>عادی</v>
      </c>
    </row>
    <row r="41" spans="2:34" ht="24.6" customHeight="1" thickBot="1" x14ac:dyDescent="0.3">
      <c r="B41" s="100">
        <v>33</v>
      </c>
      <c r="C41" s="239" t="s">
        <v>341</v>
      </c>
      <c r="D41" s="239" t="s">
        <v>342</v>
      </c>
      <c r="E41" s="234"/>
      <c r="F41" s="234"/>
      <c r="G41" s="234">
        <v>1</v>
      </c>
      <c r="H41" s="234"/>
      <c r="I41" s="234">
        <v>1</v>
      </c>
      <c r="J41" s="234"/>
      <c r="K41" s="234">
        <v>1</v>
      </c>
      <c r="L41" s="234">
        <v>1</v>
      </c>
      <c r="M41" s="234"/>
      <c r="N41" s="235"/>
      <c r="O41" s="234">
        <v>1</v>
      </c>
      <c r="P41" s="234"/>
      <c r="Q41" s="234"/>
      <c r="R41" s="234">
        <v>1</v>
      </c>
      <c r="S41" s="234"/>
      <c r="T41" s="234">
        <v>1</v>
      </c>
      <c r="U41" s="234"/>
      <c r="V41" s="234">
        <v>1</v>
      </c>
      <c r="W41" s="234"/>
      <c r="X41" s="234"/>
      <c r="Y41" s="234"/>
      <c r="Z41" s="234">
        <v>1</v>
      </c>
      <c r="AA41" s="234"/>
      <c r="AB41" s="234"/>
      <c r="AC41" s="234">
        <v>1</v>
      </c>
      <c r="AD41" s="234">
        <v>1</v>
      </c>
      <c r="AE41" s="234"/>
      <c r="AF41" s="234"/>
      <c r="AG41" s="236">
        <f t="shared" si="0"/>
        <v>31</v>
      </c>
      <c r="AH41" s="237" t="str">
        <f t="shared" si="1"/>
        <v>عادی</v>
      </c>
    </row>
    <row r="42" spans="2:34" ht="24.6" customHeight="1" thickBot="1" x14ac:dyDescent="0.3">
      <c r="B42" s="100">
        <v>34</v>
      </c>
      <c r="C42" s="239" t="s">
        <v>343</v>
      </c>
      <c r="D42" s="239" t="s">
        <v>344</v>
      </c>
      <c r="E42" s="234"/>
      <c r="F42" s="234"/>
      <c r="G42" s="234">
        <v>1</v>
      </c>
      <c r="H42" s="234"/>
      <c r="I42" s="234">
        <v>1</v>
      </c>
      <c r="J42" s="234"/>
      <c r="K42" s="234">
        <v>1</v>
      </c>
      <c r="L42" s="234">
        <v>1</v>
      </c>
      <c r="M42" s="234"/>
      <c r="N42" s="235"/>
      <c r="O42" s="234">
        <v>1</v>
      </c>
      <c r="P42" s="234"/>
      <c r="Q42" s="234"/>
      <c r="R42" s="234"/>
      <c r="S42" s="234">
        <v>1</v>
      </c>
      <c r="T42" s="234">
        <v>1</v>
      </c>
      <c r="U42" s="234"/>
      <c r="V42" s="234">
        <v>1</v>
      </c>
      <c r="W42" s="234"/>
      <c r="X42" s="234"/>
      <c r="Y42" s="234"/>
      <c r="Z42" s="234">
        <v>1</v>
      </c>
      <c r="AA42" s="234"/>
      <c r="AB42" s="234"/>
      <c r="AC42" s="234">
        <v>1</v>
      </c>
      <c r="AD42" s="234">
        <v>1</v>
      </c>
      <c r="AE42" s="234"/>
      <c r="AF42" s="234"/>
      <c r="AG42" s="236">
        <f t="shared" si="0"/>
        <v>16</v>
      </c>
      <c r="AH42" s="237" t="str">
        <f t="shared" si="1"/>
        <v>عادی</v>
      </c>
    </row>
    <row r="43" spans="2:34" ht="24.6" customHeight="1" thickBot="1" x14ac:dyDescent="0.3">
      <c r="B43" s="100">
        <v>35</v>
      </c>
      <c r="C43" s="239" t="s">
        <v>345</v>
      </c>
      <c r="D43" s="239" t="s">
        <v>346</v>
      </c>
      <c r="E43" s="234"/>
      <c r="F43" s="234"/>
      <c r="G43" s="234">
        <v>1</v>
      </c>
      <c r="H43" s="234"/>
      <c r="I43" s="234">
        <v>1</v>
      </c>
      <c r="J43" s="234"/>
      <c r="K43" s="234">
        <v>1</v>
      </c>
      <c r="L43" s="234">
        <v>1</v>
      </c>
      <c r="M43" s="234"/>
      <c r="N43" s="235"/>
      <c r="O43" s="234">
        <v>1</v>
      </c>
      <c r="P43" s="234"/>
      <c r="Q43" s="234">
        <v>1</v>
      </c>
      <c r="R43" s="234"/>
      <c r="S43" s="234"/>
      <c r="T43" s="234">
        <v>1</v>
      </c>
      <c r="U43" s="234"/>
      <c r="V43" s="234">
        <v>1</v>
      </c>
      <c r="W43" s="234"/>
      <c r="X43" s="234"/>
      <c r="Y43" s="234"/>
      <c r="Z43" s="234">
        <v>1</v>
      </c>
      <c r="AA43" s="234"/>
      <c r="AB43" s="234"/>
      <c r="AC43" s="234">
        <v>1</v>
      </c>
      <c r="AD43" s="234">
        <v>1</v>
      </c>
      <c r="AE43" s="234"/>
      <c r="AF43" s="234"/>
      <c r="AG43" s="236">
        <f t="shared" si="0"/>
        <v>46</v>
      </c>
      <c r="AH43" s="237" t="str">
        <f t="shared" si="1"/>
        <v>عادی</v>
      </c>
    </row>
    <row r="44" spans="2:34" ht="24.6" customHeight="1" thickBot="1" x14ac:dyDescent="0.3">
      <c r="B44" s="100">
        <v>36</v>
      </c>
      <c r="C44" s="239" t="s">
        <v>347</v>
      </c>
      <c r="D44" s="239" t="s">
        <v>31</v>
      </c>
      <c r="E44" s="234"/>
      <c r="F44" s="234"/>
      <c r="G44" s="234">
        <v>1</v>
      </c>
      <c r="H44" s="234"/>
      <c r="I44" s="234">
        <v>1</v>
      </c>
      <c r="J44" s="234"/>
      <c r="K44" s="234">
        <v>1</v>
      </c>
      <c r="L44" s="234"/>
      <c r="M44" s="234">
        <v>1</v>
      </c>
      <c r="N44" s="235"/>
      <c r="O44" s="234">
        <v>1</v>
      </c>
      <c r="P44" s="234"/>
      <c r="Q44" s="234"/>
      <c r="R44" s="234">
        <v>1</v>
      </c>
      <c r="S44" s="234"/>
      <c r="T44" s="234">
        <v>1</v>
      </c>
      <c r="U44" s="234"/>
      <c r="V44" s="234">
        <v>1</v>
      </c>
      <c r="W44" s="234"/>
      <c r="X44" s="234"/>
      <c r="Y44" s="234"/>
      <c r="Z44" s="234">
        <v>1</v>
      </c>
      <c r="AA44" s="234"/>
      <c r="AB44" s="234"/>
      <c r="AC44" s="234">
        <v>1</v>
      </c>
      <c r="AD44" s="234">
        <v>1</v>
      </c>
      <c r="AE44" s="234"/>
      <c r="AF44" s="234"/>
      <c r="AG44" s="236">
        <f t="shared" si="0"/>
        <v>29</v>
      </c>
      <c r="AH44" s="237" t="str">
        <f t="shared" si="1"/>
        <v>عادی</v>
      </c>
    </row>
    <row r="45" spans="2:34" ht="24.6" customHeight="1" thickBot="1" x14ac:dyDescent="0.3">
      <c r="B45" s="100">
        <v>37</v>
      </c>
      <c r="C45" s="239" t="s">
        <v>348</v>
      </c>
      <c r="D45" s="239" t="s">
        <v>32</v>
      </c>
      <c r="E45" s="234"/>
      <c r="F45" s="234"/>
      <c r="G45" s="234">
        <v>1</v>
      </c>
      <c r="H45" s="234"/>
      <c r="I45" s="234">
        <v>1</v>
      </c>
      <c r="J45" s="234"/>
      <c r="K45" s="234">
        <v>1</v>
      </c>
      <c r="L45" s="234">
        <v>1</v>
      </c>
      <c r="M45" s="234"/>
      <c r="N45" s="235"/>
      <c r="O45" s="234">
        <v>1</v>
      </c>
      <c r="P45" s="234"/>
      <c r="Q45" s="234">
        <v>1</v>
      </c>
      <c r="R45" s="234"/>
      <c r="S45" s="234"/>
      <c r="T45" s="234">
        <v>1</v>
      </c>
      <c r="U45" s="234"/>
      <c r="V45" s="234">
        <v>1</v>
      </c>
      <c r="W45" s="234"/>
      <c r="X45" s="234"/>
      <c r="Y45" s="234"/>
      <c r="Z45" s="234">
        <v>1</v>
      </c>
      <c r="AA45" s="234"/>
      <c r="AB45" s="234"/>
      <c r="AC45" s="234">
        <v>1</v>
      </c>
      <c r="AD45" s="234">
        <v>1</v>
      </c>
      <c r="AE45" s="234"/>
      <c r="AF45" s="234"/>
      <c r="AG45" s="236">
        <f t="shared" si="0"/>
        <v>46</v>
      </c>
      <c r="AH45" s="237" t="str">
        <f t="shared" si="1"/>
        <v>عادی</v>
      </c>
    </row>
    <row r="46" spans="2:34" ht="24.6" customHeight="1" thickBot="1" x14ac:dyDescent="0.3">
      <c r="B46" s="100">
        <v>38</v>
      </c>
      <c r="C46" s="238" t="s">
        <v>349</v>
      </c>
      <c r="D46" s="239" t="s">
        <v>350</v>
      </c>
      <c r="E46" s="234"/>
      <c r="F46" s="234"/>
      <c r="G46" s="234">
        <v>1</v>
      </c>
      <c r="H46" s="234"/>
      <c r="I46" s="234">
        <v>1</v>
      </c>
      <c r="J46" s="234">
        <v>1</v>
      </c>
      <c r="K46" s="234"/>
      <c r="L46" s="234"/>
      <c r="M46" s="234">
        <v>1</v>
      </c>
      <c r="N46" s="235"/>
      <c r="O46" s="234">
        <v>1</v>
      </c>
      <c r="P46" s="234"/>
      <c r="Q46" s="234"/>
      <c r="R46" s="234"/>
      <c r="S46" s="234">
        <v>1</v>
      </c>
      <c r="T46" s="234"/>
      <c r="U46" s="234">
        <v>1</v>
      </c>
      <c r="V46" s="234">
        <v>1</v>
      </c>
      <c r="W46" s="234"/>
      <c r="X46" s="234"/>
      <c r="Y46" s="234"/>
      <c r="Z46" s="234">
        <v>1</v>
      </c>
      <c r="AA46" s="234"/>
      <c r="AB46" s="234"/>
      <c r="AC46" s="234">
        <v>1</v>
      </c>
      <c r="AD46" s="234">
        <v>1</v>
      </c>
      <c r="AE46" s="234"/>
      <c r="AF46" s="234"/>
      <c r="AG46" s="236">
        <f t="shared" si="0"/>
        <v>49</v>
      </c>
      <c r="AH46" s="237" t="str">
        <f t="shared" si="1"/>
        <v>عادی</v>
      </c>
    </row>
    <row r="47" spans="2:34" ht="24.6" customHeight="1" thickBot="1" x14ac:dyDescent="0.3">
      <c r="B47" s="100">
        <v>39</v>
      </c>
      <c r="C47" s="238" t="s">
        <v>351</v>
      </c>
      <c r="D47" s="239" t="s">
        <v>352</v>
      </c>
      <c r="E47" s="234"/>
      <c r="F47" s="234"/>
      <c r="G47" s="234">
        <v>1</v>
      </c>
      <c r="H47" s="234"/>
      <c r="I47" s="234">
        <v>1</v>
      </c>
      <c r="J47" s="234">
        <v>1</v>
      </c>
      <c r="K47" s="234"/>
      <c r="L47" s="234"/>
      <c r="M47" s="234">
        <v>1</v>
      </c>
      <c r="N47" s="235"/>
      <c r="O47" s="234">
        <v>1</v>
      </c>
      <c r="P47" s="234"/>
      <c r="Q47" s="234"/>
      <c r="R47" s="234"/>
      <c r="S47" s="234">
        <v>1</v>
      </c>
      <c r="T47" s="234"/>
      <c r="U47" s="234">
        <v>1</v>
      </c>
      <c r="V47" s="234">
        <v>1</v>
      </c>
      <c r="W47" s="234"/>
      <c r="X47" s="234"/>
      <c r="Y47" s="234"/>
      <c r="Z47" s="234">
        <v>1</v>
      </c>
      <c r="AA47" s="234"/>
      <c r="AB47" s="234"/>
      <c r="AC47" s="234">
        <v>1</v>
      </c>
      <c r="AD47" s="234">
        <v>1</v>
      </c>
      <c r="AE47" s="234"/>
      <c r="AF47" s="234"/>
      <c r="AG47" s="236">
        <f t="shared" si="0"/>
        <v>49</v>
      </c>
      <c r="AH47" s="237" t="str">
        <f t="shared" si="1"/>
        <v>عادی</v>
      </c>
    </row>
    <row r="48" spans="2:34" ht="24.6" customHeight="1" thickBot="1" x14ac:dyDescent="0.3">
      <c r="B48" s="100">
        <v>40</v>
      </c>
      <c r="C48" s="238" t="s">
        <v>353</v>
      </c>
      <c r="D48" s="239" t="s">
        <v>354</v>
      </c>
      <c r="E48" s="234"/>
      <c r="F48" s="234"/>
      <c r="G48" s="234">
        <v>1</v>
      </c>
      <c r="H48" s="234"/>
      <c r="I48" s="234">
        <v>1</v>
      </c>
      <c r="J48" s="234">
        <v>1</v>
      </c>
      <c r="K48" s="234"/>
      <c r="L48" s="234"/>
      <c r="M48" s="234">
        <v>1</v>
      </c>
      <c r="N48" s="235"/>
      <c r="O48" s="234">
        <v>1</v>
      </c>
      <c r="P48" s="234"/>
      <c r="Q48" s="234"/>
      <c r="R48" s="234"/>
      <c r="S48" s="234">
        <v>1</v>
      </c>
      <c r="T48" s="234"/>
      <c r="U48" s="234">
        <v>1</v>
      </c>
      <c r="V48" s="234">
        <v>1</v>
      </c>
      <c r="W48" s="234"/>
      <c r="X48" s="234"/>
      <c r="Y48" s="234"/>
      <c r="Z48" s="234">
        <v>1</v>
      </c>
      <c r="AA48" s="234"/>
      <c r="AB48" s="234"/>
      <c r="AC48" s="234">
        <v>1</v>
      </c>
      <c r="AD48" s="234">
        <v>1</v>
      </c>
      <c r="AE48" s="234"/>
      <c r="AF48" s="234"/>
      <c r="AG48" s="236">
        <f t="shared" si="0"/>
        <v>49</v>
      </c>
      <c r="AH48" s="237" t="str">
        <f t="shared" si="1"/>
        <v>عادی</v>
      </c>
    </row>
    <row r="49" spans="2:34" ht="24.6" customHeight="1" thickBot="1" x14ac:dyDescent="0.3">
      <c r="B49" s="100">
        <v>41</v>
      </c>
      <c r="C49" s="238" t="s">
        <v>355</v>
      </c>
      <c r="D49" s="239" t="s">
        <v>356</v>
      </c>
      <c r="E49" s="234"/>
      <c r="F49" s="234"/>
      <c r="G49" s="234">
        <v>1</v>
      </c>
      <c r="H49" s="234"/>
      <c r="I49" s="234">
        <v>1</v>
      </c>
      <c r="J49" s="234">
        <v>1</v>
      </c>
      <c r="K49" s="234"/>
      <c r="L49" s="234"/>
      <c r="M49" s="234">
        <v>1</v>
      </c>
      <c r="N49" s="235"/>
      <c r="O49" s="234">
        <v>1</v>
      </c>
      <c r="P49" s="234"/>
      <c r="Q49" s="234"/>
      <c r="R49" s="234"/>
      <c r="S49" s="234">
        <v>1</v>
      </c>
      <c r="T49" s="234"/>
      <c r="U49" s="234">
        <v>1</v>
      </c>
      <c r="V49" s="234">
        <v>1</v>
      </c>
      <c r="W49" s="234"/>
      <c r="X49" s="234"/>
      <c r="Y49" s="234"/>
      <c r="Z49" s="234">
        <v>1</v>
      </c>
      <c r="AA49" s="234"/>
      <c r="AB49" s="234"/>
      <c r="AC49" s="234">
        <v>1</v>
      </c>
      <c r="AD49" s="234">
        <v>1</v>
      </c>
      <c r="AE49" s="234"/>
      <c r="AF49" s="234"/>
      <c r="AG49" s="236">
        <f t="shared" si="0"/>
        <v>49</v>
      </c>
      <c r="AH49" s="237" t="str">
        <f t="shared" si="1"/>
        <v>عادی</v>
      </c>
    </row>
    <row r="50" spans="2:34" ht="24.6" customHeight="1" thickBot="1" x14ac:dyDescent="0.3">
      <c r="B50" s="100">
        <v>42</v>
      </c>
      <c r="C50" s="238" t="s">
        <v>357</v>
      </c>
      <c r="D50" s="239" t="s">
        <v>358</v>
      </c>
      <c r="E50" s="234"/>
      <c r="F50" s="234"/>
      <c r="G50" s="234">
        <v>1</v>
      </c>
      <c r="H50" s="234"/>
      <c r="I50" s="234">
        <v>1</v>
      </c>
      <c r="J50" s="234">
        <v>1</v>
      </c>
      <c r="K50" s="234"/>
      <c r="L50" s="234"/>
      <c r="M50" s="234">
        <v>1</v>
      </c>
      <c r="N50" s="235"/>
      <c r="O50" s="234">
        <v>1</v>
      </c>
      <c r="P50" s="234"/>
      <c r="Q50" s="234"/>
      <c r="R50" s="234"/>
      <c r="S50" s="234">
        <v>1</v>
      </c>
      <c r="T50" s="234"/>
      <c r="U50" s="234">
        <v>1</v>
      </c>
      <c r="V50" s="234">
        <v>1</v>
      </c>
      <c r="W50" s="234"/>
      <c r="X50" s="234"/>
      <c r="Y50" s="234"/>
      <c r="Z50" s="234">
        <v>1</v>
      </c>
      <c r="AA50" s="234"/>
      <c r="AB50" s="234"/>
      <c r="AC50" s="234">
        <v>1</v>
      </c>
      <c r="AD50" s="234">
        <v>1</v>
      </c>
      <c r="AE50" s="234"/>
      <c r="AF50" s="234"/>
      <c r="AG50" s="236">
        <f t="shared" si="0"/>
        <v>49</v>
      </c>
      <c r="AH50" s="237" t="str">
        <f t="shared" si="1"/>
        <v>عادی</v>
      </c>
    </row>
    <row r="51" spans="2:34" ht="24.6" customHeight="1" thickBot="1" x14ac:dyDescent="0.3">
      <c r="B51" s="100">
        <v>43</v>
      </c>
      <c r="C51" s="238" t="s">
        <v>359</v>
      </c>
      <c r="D51" s="239" t="s">
        <v>360</v>
      </c>
      <c r="E51" s="234"/>
      <c r="F51" s="234"/>
      <c r="G51" s="234">
        <v>1</v>
      </c>
      <c r="H51" s="234"/>
      <c r="I51" s="234">
        <v>1</v>
      </c>
      <c r="J51" s="234">
        <v>1</v>
      </c>
      <c r="K51" s="234"/>
      <c r="L51" s="234"/>
      <c r="M51" s="234">
        <v>1</v>
      </c>
      <c r="N51" s="235"/>
      <c r="O51" s="234">
        <v>1</v>
      </c>
      <c r="P51" s="234"/>
      <c r="Q51" s="234"/>
      <c r="R51" s="234"/>
      <c r="S51" s="234">
        <v>1</v>
      </c>
      <c r="T51" s="234"/>
      <c r="U51" s="234">
        <v>1</v>
      </c>
      <c r="V51" s="234">
        <v>1</v>
      </c>
      <c r="W51" s="234"/>
      <c r="X51" s="234"/>
      <c r="Y51" s="234"/>
      <c r="Z51" s="234">
        <v>1</v>
      </c>
      <c r="AA51" s="234"/>
      <c r="AB51" s="234"/>
      <c r="AC51" s="234">
        <v>1</v>
      </c>
      <c r="AD51" s="234">
        <v>1</v>
      </c>
      <c r="AE51" s="234"/>
      <c r="AF51" s="234"/>
      <c r="AG51" s="236">
        <f t="shared" si="0"/>
        <v>49</v>
      </c>
      <c r="AH51" s="237" t="str">
        <f t="shared" si="1"/>
        <v>عادی</v>
      </c>
    </row>
    <row r="52" spans="2:34" ht="24.6" customHeight="1" thickBot="1" x14ac:dyDescent="0.3">
      <c r="B52" s="100">
        <v>44</v>
      </c>
      <c r="C52" s="238" t="s">
        <v>361</v>
      </c>
      <c r="D52" s="239" t="s">
        <v>362</v>
      </c>
      <c r="E52" s="234">
        <v>1</v>
      </c>
      <c r="F52" s="234"/>
      <c r="G52" s="234"/>
      <c r="H52" s="234">
        <v>1</v>
      </c>
      <c r="I52" s="234"/>
      <c r="J52" s="234">
        <v>1</v>
      </c>
      <c r="K52" s="234"/>
      <c r="L52" s="234"/>
      <c r="M52" s="234">
        <v>1</v>
      </c>
      <c r="N52" s="235"/>
      <c r="O52" s="234">
        <v>1</v>
      </c>
      <c r="P52" s="234"/>
      <c r="Q52" s="234"/>
      <c r="R52" s="234"/>
      <c r="S52" s="234">
        <v>1</v>
      </c>
      <c r="T52" s="234"/>
      <c r="U52" s="234">
        <v>1</v>
      </c>
      <c r="V52" s="234">
        <v>1</v>
      </c>
      <c r="W52" s="234"/>
      <c r="X52" s="234"/>
      <c r="Y52" s="234"/>
      <c r="Z52" s="234">
        <v>1</v>
      </c>
      <c r="AA52" s="234"/>
      <c r="AB52" s="234"/>
      <c r="AC52" s="234">
        <v>1</v>
      </c>
      <c r="AD52" s="234"/>
      <c r="AE52" s="234"/>
      <c r="AF52" s="234">
        <v>1</v>
      </c>
      <c r="AG52" s="236">
        <f t="shared" si="0"/>
        <v>84</v>
      </c>
      <c r="AH52" s="237" t="str">
        <f t="shared" si="1"/>
        <v>نیمه کلیدی</v>
      </c>
    </row>
    <row r="53" spans="2:34" ht="24.6" customHeight="1" thickBot="1" x14ac:dyDescent="0.3">
      <c r="B53" s="100">
        <v>45</v>
      </c>
      <c r="C53" s="238" t="s">
        <v>363</v>
      </c>
      <c r="D53" s="239" t="s">
        <v>364</v>
      </c>
      <c r="E53" s="234"/>
      <c r="F53" s="234"/>
      <c r="G53" s="234">
        <v>1</v>
      </c>
      <c r="H53" s="234">
        <v>1</v>
      </c>
      <c r="I53" s="234"/>
      <c r="J53" s="234">
        <v>1</v>
      </c>
      <c r="K53" s="234"/>
      <c r="L53" s="234"/>
      <c r="M53" s="234">
        <v>1</v>
      </c>
      <c r="N53" s="235"/>
      <c r="O53" s="234"/>
      <c r="P53" s="234">
        <v>1</v>
      </c>
      <c r="Q53" s="234"/>
      <c r="R53" s="234"/>
      <c r="S53" s="234">
        <v>1</v>
      </c>
      <c r="T53" s="234"/>
      <c r="U53" s="234">
        <v>1</v>
      </c>
      <c r="V53" s="234"/>
      <c r="W53" s="234">
        <v>1</v>
      </c>
      <c r="X53" s="234"/>
      <c r="Y53" s="234"/>
      <c r="Z53" s="234">
        <v>1</v>
      </c>
      <c r="AA53" s="234"/>
      <c r="AB53" s="234"/>
      <c r="AC53" s="234">
        <v>1</v>
      </c>
      <c r="AD53" s="234"/>
      <c r="AE53" s="234"/>
      <c r="AF53" s="234">
        <v>1</v>
      </c>
      <c r="AG53" s="236">
        <f t="shared" si="0"/>
        <v>53</v>
      </c>
      <c r="AH53" s="237" t="str">
        <f t="shared" si="1"/>
        <v>عادی</v>
      </c>
    </row>
    <row r="54" spans="2:34" ht="24.6" customHeight="1" thickBot="1" x14ac:dyDescent="0.3">
      <c r="B54" s="100">
        <v>46</v>
      </c>
      <c r="C54" s="238" t="s">
        <v>517</v>
      </c>
      <c r="D54" s="239" t="s">
        <v>366</v>
      </c>
      <c r="E54" s="234"/>
      <c r="F54" s="234">
        <v>1</v>
      </c>
      <c r="G54" s="234"/>
      <c r="H54" s="234">
        <v>1</v>
      </c>
      <c r="I54" s="234"/>
      <c r="J54" s="234">
        <v>1</v>
      </c>
      <c r="K54" s="234"/>
      <c r="L54" s="234"/>
      <c r="M54" s="234">
        <v>1</v>
      </c>
      <c r="N54" s="235"/>
      <c r="O54" s="234"/>
      <c r="P54" s="234">
        <v>1</v>
      </c>
      <c r="Q54" s="234"/>
      <c r="R54" s="234"/>
      <c r="S54" s="234">
        <v>1</v>
      </c>
      <c r="T54" s="234"/>
      <c r="U54" s="234">
        <v>1</v>
      </c>
      <c r="V54" s="234"/>
      <c r="W54" s="234">
        <v>1</v>
      </c>
      <c r="X54" s="234"/>
      <c r="Y54" s="234"/>
      <c r="Z54" s="234">
        <v>1</v>
      </c>
      <c r="AA54" s="234">
        <v>1</v>
      </c>
      <c r="AB54" s="234"/>
      <c r="AC54" s="234"/>
      <c r="AD54" s="234">
        <v>1</v>
      </c>
      <c r="AE54" s="234"/>
      <c r="AF54" s="234"/>
      <c r="AG54" s="236">
        <f>SUMPRODUCT(E54:AF54,$E$7:$AF$7,$E$6:$AF$6)</f>
        <v>97</v>
      </c>
      <c r="AH54" s="237" t="str">
        <f t="shared" si="1"/>
        <v>نیمه کلیدی</v>
      </c>
    </row>
    <row r="55" spans="2:34" ht="24.6" customHeight="1" thickBot="1" x14ac:dyDescent="0.3">
      <c r="B55" s="100">
        <v>47</v>
      </c>
      <c r="C55" s="238" t="s">
        <v>367</v>
      </c>
      <c r="D55" s="239" t="s">
        <v>368</v>
      </c>
      <c r="E55" s="234">
        <v>1</v>
      </c>
      <c r="F55" s="234"/>
      <c r="G55" s="234"/>
      <c r="H55" s="234"/>
      <c r="I55" s="234">
        <v>1</v>
      </c>
      <c r="J55" s="234">
        <v>1</v>
      </c>
      <c r="K55" s="234"/>
      <c r="L55" s="234"/>
      <c r="M55" s="234">
        <v>1</v>
      </c>
      <c r="N55" s="235"/>
      <c r="O55" s="234">
        <v>1</v>
      </c>
      <c r="P55" s="234"/>
      <c r="Q55" s="234"/>
      <c r="R55" s="234"/>
      <c r="S55" s="234">
        <v>1</v>
      </c>
      <c r="T55" s="234">
        <v>1</v>
      </c>
      <c r="U55" s="234"/>
      <c r="V55" s="234">
        <v>1</v>
      </c>
      <c r="W55" s="234"/>
      <c r="X55" s="234"/>
      <c r="Y55" s="234"/>
      <c r="Z55" s="234">
        <v>1</v>
      </c>
      <c r="AA55" s="234"/>
      <c r="AB55" s="234"/>
      <c r="AC55" s="234">
        <v>1</v>
      </c>
      <c r="AD55" s="234"/>
      <c r="AE55" s="234"/>
      <c r="AF55" s="234">
        <v>1</v>
      </c>
      <c r="AG55" s="236">
        <f t="shared" si="0"/>
        <v>69</v>
      </c>
      <c r="AH55" s="237" t="str">
        <f t="shared" si="1"/>
        <v>عادی</v>
      </c>
    </row>
    <row r="56" spans="2:34" ht="24.6" customHeight="1" thickBot="1" x14ac:dyDescent="0.3">
      <c r="B56" s="100">
        <v>48</v>
      </c>
      <c r="C56" s="238" t="s">
        <v>369</v>
      </c>
      <c r="D56" s="239" t="s">
        <v>370</v>
      </c>
      <c r="E56" s="234">
        <v>1</v>
      </c>
      <c r="F56" s="234"/>
      <c r="G56" s="234"/>
      <c r="H56" s="234">
        <v>1</v>
      </c>
      <c r="I56" s="234"/>
      <c r="J56" s="234">
        <v>1</v>
      </c>
      <c r="K56" s="234"/>
      <c r="L56" s="234"/>
      <c r="M56" s="234">
        <v>1</v>
      </c>
      <c r="N56" s="235"/>
      <c r="O56" s="234">
        <v>1</v>
      </c>
      <c r="P56" s="234"/>
      <c r="Q56" s="234"/>
      <c r="R56" s="234"/>
      <c r="S56" s="234">
        <v>1</v>
      </c>
      <c r="T56" s="234"/>
      <c r="U56" s="234">
        <v>1</v>
      </c>
      <c r="V56" s="234">
        <v>1</v>
      </c>
      <c r="W56" s="234"/>
      <c r="X56" s="234"/>
      <c r="Y56" s="234"/>
      <c r="Z56" s="234">
        <v>1</v>
      </c>
      <c r="AA56" s="234"/>
      <c r="AB56" s="234"/>
      <c r="AC56" s="234">
        <v>1</v>
      </c>
      <c r="AD56" s="234"/>
      <c r="AE56" s="234"/>
      <c r="AF56" s="234">
        <v>1</v>
      </c>
      <c r="AG56" s="236">
        <f t="shared" si="0"/>
        <v>84</v>
      </c>
      <c r="AH56" s="237" t="str">
        <f t="shared" si="1"/>
        <v>نیمه کلیدی</v>
      </c>
    </row>
    <row r="57" spans="2:34" ht="24.6" customHeight="1" thickBot="1" x14ac:dyDescent="0.3">
      <c r="B57" s="100">
        <v>49</v>
      </c>
      <c r="C57" s="238" t="s">
        <v>371</v>
      </c>
      <c r="D57" s="239" t="s">
        <v>372</v>
      </c>
      <c r="E57" s="234"/>
      <c r="F57" s="234"/>
      <c r="G57" s="234">
        <v>1</v>
      </c>
      <c r="H57" s="234"/>
      <c r="I57" s="234">
        <v>1</v>
      </c>
      <c r="J57" s="234">
        <v>1</v>
      </c>
      <c r="K57" s="234"/>
      <c r="L57" s="234"/>
      <c r="M57" s="234">
        <v>1</v>
      </c>
      <c r="N57" s="235"/>
      <c r="O57" s="234">
        <v>1</v>
      </c>
      <c r="P57" s="234"/>
      <c r="Q57" s="234"/>
      <c r="R57" s="234"/>
      <c r="S57" s="234">
        <v>1</v>
      </c>
      <c r="T57" s="234"/>
      <c r="U57" s="234">
        <v>1</v>
      </c>
      <c r="V57" s="234">
        <v>1</v>
      </c>
      <c r="W57" s="234"/>
      <c r="X57" s="234"/>
      <c r="Y57" s="234"/>
      <c r="Z57" s="234">
        <v>1</v>
      </c>
      <c r="AA57" s="234"/>
      <c r="AB57" s="234"/>
      <c r="AC57" s="234">
        <v>1</v>
      </c>
      <c r="AD57" s="234"/>
      <c r="AE57" s="234"/>
      <c r="AF57" s="234">
        <v>1</v>
      </c>
      <c r="AG57" s="236">
        <f t="shared" si="0"/>
        <v>44</v>
      </c>
      <c r="AH57" s="237" t="str">
        <f t="shared" si="1"/>
        <v>عادی</v>
      </c>
    </row>
    <row r="58" spans="2:34" ht="24.6" customHeight="1" thickBot="1" x14ac:dyDescent="0.3">
      <c r="B58" s="100">
        <v>50</v>
      </c>
      <c r="C58" s="238" t="s">
        <v>373</v>
      </c>
      <c r="D58" s="239" t="s">
        <v>374</v>
      </c>
      <c r="E58" s="234"/>
      <c r="F58" s="234"/>
      <c r="G58" s="234">
        <v>1</v>
      </c>
      <c r="H58" s="234"/>
      <c r="I58" s="234">
        <v>1</v>
      </c>
      <c r="J58" s="234">
        <v>1</v>
      </c>
      <c r="K58" s="234"/>
      <c r="L58" s="234"/>
      <c r="M58" s="234">
        <v>1</v>
      </c>
      <c r="N58" s="235"/>
      <c r="O58" s="234">
        <v>1</v>
      </c>
      <c r="P58" s="234"/>
      <c r="Q58" s="234"/>
      <c r="R58" s="234"/>
      <c r="S58" s="234">
        <v>1</v>
      </c>
      <c r="T58" s="234"/>
      <c r="U58" s="234">
        <v>1</v>
      </c>
      <c r="V58" s="234">
        <v>1</v>
      </c>
      <c r="W58" s="234"/>
      <c r="X58" s="234"/>
      <c r="Y58" s="234"/>
      <c r="Z58" s="234">
        <v>1</v>
      </c>
      <c r="AA58" s="234"/>
      <c r="AB58" s="234"/>
      <c r="AC58" s="234">
        <v>1</v>
      </c>
      <c r="AD58" s="234"/>
      <c r="AE58" s="234"/>
      <c r="AF58" s="234">
        <v>1</v>
      </c>
      <c r="AG58" s="236">
        <f t="shared" si="0"/>
        <v>44</v>
      </c>
      <c r="AH58" s="237" t="str">
        <f t="shared" si="1"/>
        <v>عادی</v>
      </c>
    </row>
    <row r="59" spans="2:34" ht="24.6" customHeight="1" thickBot="1" x14ac:dyDescent="0.3">
      <c r="B59" s="100">
        <v>51</v>
      </c>
      <c r="C59" s="238" t="s">
        <v>375</v>
      </c>
      <c r="D59" s="239" t="s">
        <v>376</v>
      </c>
      <c r="E59" s="234"/>
      <c r="F59" s="234"/>
      <c r="G59" s="234">
        <v>1</v>
      </c>
      <c r="H59" s="234"/>
      <c r="I59" s="234">
        <v>1</v>
      </c>
      <c r="J59" s="234">
        <v>1</v>
      </c>
      <c r="K59" s="234"/>
      <c r="L59" s="234"/>
      <c r="M59" s="234">
        <v>1</v>
      </c>
      <c r="N59" s="235"/>
      <c r="O59" s="234">
        <v>1</v>
      </c>
      <c r="P59" s="234"/>
      <c r="Q59" s="234"/>
      <c r="R59" s="234"/>
      <c r="S59" s="234">
        <v>1</v>
      </c>
      <c r="T59" s="234"/>
      <c r="U59" s="234">
        <v>1</v>
      </c>
      <c r="V59" s="234">
        <v>1</v>
      </c>
      <c r="W59" s="234"/>
      <c r="X59" s="234"/>
      <c r="Y59" s="234"/>
      <c r="Z59" s="234">
        <v>1</v>
      </c>
      <c r="AA59" s="234"/>
      <c r="AB59" s="234"/>
      <c r="AC59" s="234">
        <v>1</v>
      </c>
      <c r="AD59" s="234"/>
      <c r="AE59" s="234"/>
      <c r="AF59" s="234">
        <v>1</v>
      </c>
      <c r="AG59" s="236">
        <f t="shared" si="0"/>
        <v>44</v>
      </c>
      <c r="AH59" s="237" t="str">
        <f t="shared" si="1"/>
        <v>عادی</v>
      </c>
    </row>
    <row r="60" spans="2:34" ht="24.6" customHeight="1" thickBot="1" x14ac:dyDescent="0.3">
      <c r="B60" s="100">
        <v>52</v>
      </c>
      <c r="C60" s="238" t="s">
        <v>377</v>
      </c>
      <c r="D60" s="239" t="s">
        <v>378</v>
      </c>
      <c r="E60" s="234"/>
      <c r="F60" s="234"/>
      <c r="G60" s="234">
        <v>1</v>
      </c>
      <c r="H60" s="234"/>
      <c r="I60" s="234">
        <v>1</v>
      </c>
      <c r="J60" s="234">
        <v>1</v>
      </c>
      <c r="K60" s="234"/>
      <c r="L60" s="234"/>
      <c r="M60" s="234">
        <v>1</v>
      </c>
      <c r="N60" s="235"/>
      <c r="O60" s="234">
        <v>1</v>
      </c>
      <c r="P60" s="234"/>
      <c r="Q60" s="234"/>
      <c r="R60" s="234"/>
      <c r="S60" s="234">
        <v>1</v>
      </c>
      <c r="T60" s="234"/>
      <c r="U60" s="234">
        <v>1</v>
      </c>
      <c r="V60" s="234">
        <v>1</v>
      </c>
      <c r="W60" s="234"/>
      <c r="X60" s="234"/>
      <c r="Y60" s="234"/>
      <c r="Z60" s="234">
        <v>1</v>
      </c>
      <c r="AA60" s="234"/>
      <c r="AB60" s="234"/>
      <c r="AC60" s="234">
        <v>1</v>
      </c>
      <c r="AD60" s="234"/>
      <c r="AE60" s="234"/>
      <c r="AF60" s="234">
        <v>1</v>
      </c>
      <c r="AG60" s="236">
        <f t="shared" si="0"/>
        <v>44</v>
      </c>
      <c r="AH60" s="237" t="str">
        <f t="shared" si="1"/>
        <v>عادی</v>
      </c>
    </row>
    <row r="61" spans="2:34" ht="24.6" customHeight="1" thickBot="1" x14ac:dyDescent="0.3">
      <c r="B61" s="100">
        <v>53</v>
      </c>
      <c r="C61" s="238" t="s">
        <v>379</v>
      </c>
      <c r="D61" s="239" t="s">
        <v>380</v>
      </c>
      <c r="E61" s="234"/>
      <c r="F61" s="234"/>
      <c r="G61" s="234">
        <v>1</v>
      </c>
      <c r="H61" s="234"/>
      <c r="I61" s="234">
        <v>1</v>
      </c>
      <c r="J61" s="234">
        <v>1</v>
      </c>
      <c r="K61" s="234"/>
      <c r="L61" s="234"/>
      <c r="M61" s="234">
        <v>1</v>
      </c>
      <c r="N61" s="235"/>
      <c r="O61" s="234">
        <v>1</v>
      </c>
      <c r="P61" s="234"/>
      <c r="Q61" s="234"/>
      <c r="R61" s="234"/>
      <c r="S61" s="234">
        <v>1</v>
      </c>
      <c r="T61" s="234">
        <v>1</v>
      </c>
      <c r="U61" s="234"/>
      <c r="V61" s="234">
        <v>1</v>
      </c>
      <c r="W61" s="234"/>
      <c r="X61" s="234"/>
      <c r="Y61" s="234"/>
      <c r="Z61" s="234">
        <v>1</v>
      </c>
      <c r="AA61" s="234"/>
      <c r="AB61" s="234"/>
      <c r="AC61" s="234">
        <v>1</v>
      </c>
      <c r="AD61" s="234"/>
      <c r="AE61" s="234">
        <v>1</v>
      </c>
      <c r="AF61" s="234"/>
      <c r="AG61" s="236">
        <f t="shared" si="0"/>
        <v>42</v>
      </c>
      <c r="AH61" s="237" t="str">
        <f t="shared" si="1"/>
        <v>عادی</v>
      </c>
    </row>
    <row r="62" spans="2:34" ht="24.6" customHeight="1" thickBot="1" x14ac:dyDescent="0.3">
      <c r="B62" s="100">
        <v>54</v>
      </c>
      <c r="C62" s="238" t="s">
        <v>381</v>
      </c>
      <c r="D62" s="239" t="s">
        <v>382</v>
      </c>
      <c r="E62" s="234"/>
      <c r="F62" s="234"/>
      <c r="G62" s="234">
        <v>1</v>
      </c>
      <c r="H62" s="234"/>
      <c r="I62" s="234">
        <v>1</v>
      </c>
      <c r="J62" s="234">
        <v>1</v>
      </c>
      <c r="K62" s="234"/>
      <c r="L62" s="234"/>
      <c r="M62" s="234">
        <v>1</v>
      </c>
      <c r="N62" s="235"/>
      <c r="O62" s="234">
        <v>1</v>
      </c>
      <c r="P62" s="234"/>
      <c r="Q62" s="234"/>
      <c r="R62" s="234"/>
      <c r="S62" s="234">
        <v>1</v>
      </c>
      <c r="T62" s="234">
        <v>1</v>
      </c>
      <c r="U62" s="234"/>
      <c r="V62" s="234">
        <v>1</v>
      </c>
      <c r="W62" s="234"/>
      <c r="X62" s="234"/>
      <c r="Y62" s="234"/>
      <c r="Z62" s="234">
        <v>1</v>
      </c>
      <c r="AA62" s="234"/>
      <c r="AB62" s="234"/>
      <c r="AC62" s="234">
        <v>1</v>
      </c>
      <c r="AD62" s="234"/>
      <c r="AE62" s="234">
        <v>1</v>
      </c>
      <c r="AF62" s="234"/>
      <c r="AG62" s="236">
        <f t="shared" si="0"/>
        <v>42</v>
      </c>
      <c r="AH62" s="237" t="str">
        <f t="shared" si="1"/>
        <v>عادی</v>
      </c>
    </row>
    <row r="63" spans="2:34" ht="24.6" customHeight="1" thickBot="1" x14ac:dyDescent="0.3">
      <c r="B63" s="100">
        <v>55</v>
      </c>
      <c r="C63" s="238" t="s">
        <v>383</v>
      </c>
      <c r="D63" s="239" t="s">
        <v>384</v>
      </c>
      <c r="E63" s="234"/>
      <c r="F63" s="234"/>
      <c r="G63" s="234">
        <v>1</v>
      </c>
      <c r="H63" s="234"/>
      <c r="I63" s="234">
        <v>1</v>
      </c>
      <c r="J63" s="234">
        <v>1</v>
      </c>
      <c r="K63" s="234"/>
      <c r="L63" s="234"/>
      <c r="M63" s="234">
        <v>1</v>
      </c>
      <c r="N63" s="235"/>
      <c r="O63" s="234">
        <v>1</v>
      </c>
      <c r="P63" s="234"/>
      <c r="Q63" s="234"/>
      <c r="R63" s="234"/>
      <c r="S63" s="234">
        <v>1</v>
      </c>
      <c r="T63" s="234">
        <v>1</v>
      </c>
      <c r="U63" s="234"/>
      <c r="V63" s="234">
        <v>1</v>
      </c>
      <c r="W63" s="234"/>
      <c r="X63" s="234"/>
      <c r="Y63" s="234"/>
      <c r="Z63" s="234">
        <v>1</v>
      </c>
      <c r="AA63" s="234"/>
      <c r="AB63" s="234"/>
      <c r="AC63" s="234">
        <v>1</v>
      </c>
      <c r="AD63" s="234"/>
      <c r="AE63" s="234">
        <v>1</v>
      </c>
      <c r="AF63" s="234"/>
      <c r="AG63" s="236">
        <f t="shared" si="0"/>
        <v>42</v>
      </c>
      <c r="AH63" s="237" t="str">
        <f t="shared" si="1"/>
        <v>عادی</v>
      </c>
    </row>
    <row r="64" spans="2:34" ht="24.6" customHeight="1" thickBot="1" x14ac:dyDescent="0.3">
      <c r="B64" s="100">
        <v>56</v>
      </c>
      <c r="C64" s="238" t="s">
        <v>385</v>
      </c>
      <c r="D64" s="239" t="s">
        <v>386</v>
      </c>
      <c r="E64" s="234"/>
      <c r="F64" s="234"/>
      <c r="G64" s="234">
        <v>1</v>
      </c>
      <c r="H64" s="234"/>
      <c r="I64" s="234">
        <v>1</v>
      </c>
      <c r="J64" s="234">
        <v>1</v>
      </c>
      <c r="K64" s="234"/>
      <c r="L64" s="234"/>
      <c r="M64" s="234">
        <v>1</v>
      </c>
      <c r="N64" s="235"/>
      <c r="O64" s="234">
        <v>1</v>
      </c>
      <c r="P64" s="234"/>
      <c r="Q64" s="234"/>
      <c r="R64" s="234"/>
      <c r="S64" s="234">
        <v>1</v>
      </c>
      <c r="T64" s="234">
        <v>1</v>
      </c>
      <c r="U64" s="234"/>
      <c r="V64" s="234">
        <v>1</v>
      </c>
      <c r="W64" s="234"/>
      <c r="X64" s="234"/>
      <c r="Y64" s="234"/>
      <c r="Z64" s="234">
        <v>1</v>
      </c>
      <c r="AA64" s="234"/>
      <c r="AB64" s="234"/>
      <c r="AC64" s="234">
        <v>1</v>
      </c>
      <c r="AD64" s="234"/>
      <c r="AE64" s="234">
        <v>1</v>
      </c>
      <c r="AF64" s="234"/>
      <c r="AG64" s="236">
        <f t="shared" si="0"/>
        <v>42</v>
      </c>
      <c r="AH64" s="237" t="str">
        <f t="shared" si="1"/>
        <v>عادی</v>
      </c>
    </row>
    <row r="65" spans="2:34" ht="24.6" customHeight="1" thickBot="1" x14ac:dyDescent="0.3">
      <c r="B65" s="100">
        <v>57</v>
      </c>
      <c r="C65" s="238" t="s">
        <v>387</v>
      </c>
      <c r="D65" s="239" t="s">
        <v>388</v>
      </c>
      <c r="E65" s="234"/>
      <c r="F65" s="234"/>
      <c r="G65" s="234">
        <v>1</v>
      </c>
      <c r="H65" s="234"/>
      <c r="I65" s="234">
        <v>1</v>
      </c>
      <c r="J65" s="234">
        <v>1</v>
      </c>
      <c r="K65" s="234"/>
      <c r="L65" s="234"/>
      <c r="M65" s="234">
        <v>1</v>
      </c>
      <c r="N65" s="235"/>
      <c r="O65" s="234">
        <v>1</v>
      </c>
      <c r="P65" s="234"/>
      <c r="Q65" s="234"/>
      <c r="R65" s="234"/>
      <c r="S65" s="234">
        <v>1</v>
      </c>
      <c r="T65" s="234">
        <v>1</v>
      </c>
      <c r="U65" s="234"/>
      <c r="V65" s="234">
        <v>1</v>
      </c>
      <c r="W65" s="234"/>
      <c r="X65" s="234"/>
      <c r="Y65" s="234"/>
      <c r="Z65" s="234">
        <v>1</v>
      </c>
      <c r="AA65" s="234"/>
      <c r="AB65" s="234"/>
      <c r="AC65" s="234">
        <v>1</v>
      </c>
      <c r="AD65" s="234"/>
      <c r="AE65" s="234">
        <v>1</v>
      </c>
      <c r="AF65" s="234"/>
      <c r="AG65" s="236">
        <f t="shared" si="0"/>
        <v>42</v>
      </c>
      <c r="AH65" s="237" t="str">
        <f t="shared" si="1"/>
        <v>عادی</v>
      </c>
    </row>
    <row r="66" spans="2:34" ht="24.6" customHeight="1" thickBot="1" x14ac:dyDescent="0.3">
      <c r="B66" s="100">
        <v>58</v>
      </c>
      <c r="C66" s="238" t="s">
        <v>389</v>
      </c>
      <c r="D66" s="239" t="s">
        <v>390</v>
      </c>
      <c r="E66" s="234"/>
      <c r="F66" s="234"/>
      <c r="G66" s="234">
        <v>1</v>
      </c>
      <c r="H66" s="234"/>
      <c r="I66" s="234">
        <v>1</v>
      </c>
      <c r="J66" s="234">
        <v>1</v>
      </c>
      <c r="K66" s="234"/>
      <c r="L66" s="234"/>
      <c r="M66" s="234">
        <v>1</v>
      </c>
      <c r="N66" s="235"/>
      <c r="O66" s="234">
        <v>1</v>
      </c>
      <c r="P66" s="234"/>
      <c r="Q66" s="234"/>
      <c r="R66" s="234"/>
      <c r="S66" s="234">
        <v>1</v>
      </c>
      <c r="T66" s="234"/>
      <c r="U66" s="234">
        <v>1</v>
      </c>
      <c r="V66" s="234">
        <v>1</v>
      </c>
      <c r="W66" s="234"/>
      <c r="X66" s="234"/>
      <c r="Y66" s="234"/>
      <c r="Z66" s="234">
        <v>1</v>
      </c>
      <c r="AA66" s="234"/>
      <c r="AB66" s="234"/>
      <c r="AC66" s="234">
        <v>1</v>
      </c>
      <c r="AD66" s="234"/>
      <c r="AE66" s="234">
        <v>1</v>
      </c>
      <c r="AF66" s="234"/>
      <c r="AG66" s="236">
        <f t="shared" si="0"/>
        <v>47</v>
      </c>
      <c r="AH66" s="237" t="str">
        <f t="shared" si="1"/>
        <v>عادی</v>
      </c>
    </row>
    <row r="67" spans="2:34" ht="24.6" customHeight="1" thickBot="1" x14ac:dyDescent="0.3">
      <c r="B67" s="100">
        <v>59</v>
      </c>
      <c r="C67" s="238" t="s">
        <v>391</v>
      </c>
      <c r="D67" s="239" t="s">
        <v>392</v>
      </c>
      <c r="E67" s="234"/>
      <c r="F67" s="234"/>
      <c r="G67" s="234">
        <v>1</v>
      </c>
      <c r="H67" s="234"/>
      <c r="I67" s="234">
        <v>1</v>
      </c>
      <c r="J67" s="234">
        <v>1</v>
      </c>
      <c r="K67" s="234"/>
      <c r="L67" s="234"/>
      <c r="M67" s="234">
        <v>1</v>
      </c>
      <c r="N67" s="235"/>
      <c r="O67" s="234">
        <v>1</v>
      </c>
      <c r="P67" s="234"/>
      <c r="Q67" s="234"/>
      <c r="R67" s="234"/>
      <c r="S67" s="234">
        <v>1</v>
      </c>
      <c r="T67" s="234"/>
      <c r="U67" s="234">
        <v>1</v>
      </c>
      <c r="V67" s="234">
        <v>1</v>
      </c>
      <c r="W67" s="234"/>
      <c r="X67" s="234"/>
      <c r="Y67" s="234"/>
      <c r="Z67" s="234">
        <v>1</v>
      </c>
      <c r="AA67" s="234"/>
      <c r="AB67" s="234"/>
      <c r="AC67" s="234">
        <v>1</v>
      </c>
      <c r="AD67" s="234"/>
      <c r="AE67" s="234">
        <v>1</v>
      </c>
      <c r="AF67" s="234"/>
      <c r="AG67" s="236">
        <f t="shared" si="0"/>
        <v>47</v>
      </c>
      <c r="AH67" s="237" t="str">
        <f t="shared" si="1"/>
        <v>عادی</v>
      </c>
    </row>
    <row r="68" spans="2:34" ht="24.6" customHeight="1" thickBot="1" x14ac:dyDescent="0.3">
      <c r="B68" s="100">
        <v>60</v>
      </c>
      <c r="C68" s="238" t="s">
        <v>393</v>
      </c>
      <c r="D68" s="239" t="s">
        <v>394</v>
      </c>
      <c r="E68" s="234"/>
      <c r="F68" s="234"/>
      <c r="G68" s="234">
        <v>1</v>
      </c>
      <c r="H68" s="234"/>
      <c r="I68" s="234">
        <v>1</v>
      </c>
      <c r="J68" s="234">
        <v>1</v>
      </c>
      <c r="K68" s="234"/>
      <c r="L68" s="234"/>
      <c r="M68" s="234">
        <v>1</v>
      </c>
      <c r="N68" s="235"/>
      <c r="O68" s="234">
        <v>1</v>
      </c>
      <c r="P68" s="234"/>
      <c r="Q68" s="234"/>
      <c r="R68" s="234"/>
      <c r="S68" s="234">
        <v>1</v>
      </c>
      <c r="T68" s="234"/>
      <c r="U68" s="234">
        <v>1</v>
      </c>
      <c r="V68" s="234">
        <v>1</v>
      </c>
      <c r="W68" s="234"/>
      <c r="X68" s="234"/>
      <c r="Y68" s="234"/>
      <c r="Z68" s="234">
        <v>1</v>
      </c>
      <c r="AA68" s="234"/>
      <c r="AB68" s="234"/>
      <c r="AC68" s="234">
        <v>1</v>
      </c>
      <c r="AD68" s="234"/>
      <c r="AE68" s="234">
        <v>1</v>
      </c>
      <c r="AF68" s="234"/>
      <c r="AG68" s="236">
        <f t="shared" si="0"/>
        <v>47</v>
      </c>
      <c r="AH68" s="237" t="str">
        <f t="shared" si="1"/>
        <v>عادی</v>
      </c>
    </row>
    <row r="69" spans="2:34" ht="24.6" customHeight="1" thickBot="1" x14ac:dyDescent="0.3">
      <c r="B69" s="100">
        <v>61</v>
      </c>
      <c r="C69" s="238" t="s">
        <v>395</v>
      </c>
      <c r="D69" s="239" t="s">
        <v>396</v>
      </c>
      <c r="E69" s="234"/>
      <c r="F69" s="234"/>
      <c r="G69" s="234">
        <v>1</v>
      </c>
      <c r="H69" s="234"/>
      <c r="I69" s="234">
        <v>1</v>
      </c>
      <c r="J69" s="234">
        <v>1</v>
      </c>
      <c r="K69" s="234"/>
      <c r="L69" s="234"/>
      <c r="M69" s="234">
        <v>1</v>
      </c>
      <c r="N69" s="235"/>
      <c r="O69" s="234">
        <v>1</v>
      </c>
      <c r="P69" s="234"/>
      <c r="Q69" s="234"/>
      <c r="R69" s="234"/>
      <c r="S69" s="234">
        <v>1</v>
      </c>
      <c r="T69" s="234">
        <v>1</v>
      </c>
      <c r="U69" s="234"/>
      <c r="V69" s="234">
        <v>1</v>
      </c>
      <c r="W69" s="234"/>
      <c r="X69" s="234"/>
      <c r="Y69" s="234"/>
      <c r="Z69" s="234">
        <v>1</v>
      </c>
      <c r="AA69" s="234"/>
      <c r="AB69" s="234"/>
      <c r="AC69" s="234">
        <v>1</v>
      </c>
      <c r="AD69" s="234"/>
      <c r="AE69" s="234">
        <v>1</v>
      </c>
      <c r="AF69" s="234"/>
      <c r="AG69" s="236">
        <f t="shared" si="0"/>
        <v>42</v>
      </c>
      <c r="AH69" s="237" t="str">
        <f t="shared" si="1"/>
        <v>عادی</v>
      </c>
    </row>
    <row r="70" spans="2:34" ht="24.6" customHeight="1" thickBot="1" x14ac:dyDescent="0.3">
      <c r="B70" s="100">
        <v>62</v>
      </c>
      <c r="C70" s="238" t="s">
        <v>397</v>
      </c>
      <c r="D70" s="239" t="s">
        <v>398</v>
      </c>
      <c r="E70" s="234"/>
      <c r="F70" s="234"/>
      <c r="G70" s="234">
        <v>1</v>
      </c>
      <c r="H70" s="234"/>
      <c r="I70" s="234">
        <v>1</v>
      </c>
      <c r="J70" s="234">
        <v>1</v>
      </c>
      <c r="K70" s="234"/>
      <c r="L70" s="234"/>
      <c r="M70" s="234">
        <v>1</v>
      </c>
      <c r="N70" s="235"/>
      <c r="O70" s="234">
        <v>1</v>
      </c>
      <c r="P70" s="234"/>
      <c r="Q70" s="234"/>
      <c r="R70" s="234"/>
      <c r="S70" s="234">
        <v>1</v>
      </c>
      <c r="T70" s="234"/>
      <c r="U70" s="234">
        <v>1</v>
      </c>
      <c r="V70" s="234">
        <v>1</v>
      </c>
      <c r="W70" s="234"/>
      <c r="X70" s="234"/>
      <c r="Y70" s="234"/>
      <c r="Z70" s="234">
        <v>1</v>
      </c>
      <c r="AA70" s="234"/>
      <c r="AB70" s="234"/>
      <c r="AC70" s="234">
        <v>1</v>
      </c>
      <c r="AD70" s="234"/>
      <c r="AE70" s="234">
        <v>1</v>
      </c>
      <c r="AF70" s="234"/>
      <c r="AG70" s="236">
        <f t="shared" si="0"/>
        <v>47</v>
      </c>
      <c r="AH70" s="237" t="str">
        <f t="shared" si="1"/>
        <v>عادی</v>
      </c>
    </row>
    <row r="71" spans="2:34" ht="24.6" customHeight="1" thickBot="1" x14ac:dyDescent="0.3">
      <c r="B71" s="100">
        <v>63</v>
      </c>
      <c r="C71" s="238" t="s">
        <v>399</v>
      </c>
      <c r="D71" s="239" t="s">
        <v>400</v>
      </c>
      <c r="E71" s="234"/>
      <c r="F71" s="234"/>
      <c r="G71" s="234">
        <v>1</v>
      </c>
      <c r="H71" s="234"/>
      <c r="I71" s="234">
        <v>1</v>
      </c>
      <c r="J71" s="234">
        <v>1</v>
      </c>
      <c r="K71" s="234"/>
      <c r="L71" s="234"/>
      <c r="M71" s="234">
        <v>1</v>
      </c>
      <c r="N71" s="235"/>
      <c r="O71" s="234">
        <v>1</v>
      </c>
      <c r="P71" s="234"/>
      <c r="Q71" s="234"/>
      <c r="R71" s="234"/>
      <c r="S71" s="234">
        <v>1</v>
      </c>
      <c r="T71" s="234">
        <v>1</v>
      </c>
      <c r="U71" s="234"/>
      <c r="V71" s="234">
        <v>1</v>
      </c>
      <c r="W71" s="234"/>
      <c r="X71" s="234"/>
      <c r="Y71" s="234"/>
      <c r="Z71" s="234">
        <v>1</v>
      </c>
      <c r="AA71" s="234"/>
      <c r="AB71" s="234"/>
      <c r="AC71" s="234">
        <v>1</v>
      </c>
      <c r="AD71" s="234"/>
      <c r="AE71" s="234">
        <v>1</v>
      </c>
      <c r="AF71" s="234"/>
      <c r="AG71" s="236">
        <f t="shared" si="0"/>
        <v>42</v>
      </c>
      <c r="AH71" s="237" t="str">
        <f t="shared" si="1"/>
        <v>عادی</v>
      </c>
    </row>
    <row r="72" spans="2:34" ht="24.6" customHeight="1" thickBot="1" x14ac:dyDescent="0.3">
      <c r="B72" s="100">
        <v>64</v>
      </c>
      <c r="C72" s="238" t="s">
        <v>401</v>
      </c>
      <c r="D72" s="239" t="s">
        <v>402</v>
      </c>
      <c r="E72" s="234"/>
      <c r="F72" s="234">
        <v>1</v>
      </c>
      <c r="G72" s="234"/>
      <c r="H72" s="234">
        <v>1</v>
      </c>
      <c r="I72" s="234"/>
      <c r="J72" s="234">
        <v>1</v>
      </c>
      <c r="K72" s="234"/>
      <c r="L72" s="234"/>
      <c r="M72" s="234">
        <v>1</v>
      </c>
      <c r="N72" s="235"/>
      <c r="O72" s="234">
        <v>1</v>
      </c>
      <c r="P72" s="234"/>
      <c r="Q72" s="234"/>
      <c r="R72" s="234"/>
      <c r="S72" s="234">
        <v>1</v>
      </c>
      <c r="T72" s="234"/>
      <c r="U72" s="234">
        <v>1</v>
      </c>
      <c r="V72" s="234">
        <v>1</v>
      </c>
      <c r="W72" s="234"/>
      <c r="X72" s="234"/>
      <c r="Y72" s="234"/>
      <c r="Z72" s="234">
        <v>1</v>
      </c>
      <c r="AA72" s="234"/>
      <c r="AB72" s="234"/>
      <c r="AC72" s="234">
        <v>1</v>
      </c>
      <c r="AD72" s="234"/>
      <c r="AE72" s="234"/>
      <c r="AF72" s="234">
        <v>1</v>
      </c>
      <c r="AG72" s="236">
        <f t="shared" si="0"/>
        <v>63</v>
      </c>
      <c r="AH72" s="237" t="str">
        <f t="shared" si="1"/>
        <v>عادی</v>
      </c>
    </row>
    <row r="73" spans="2:34" ht="24.6" customHeight="1" thickBot="1" x14ac:dyDescent="0.3">
      <c r="B73" s="100">
        <v>65</v>
      </c>
      <c r="C73" s="238" t="s">
        <v>403</v>
      </c>
      <c r="D73" s="239" t="s">
        <v>404</v>
      </c>
      <c r="E73" s="234"/>
      <c r="F73" s="234"/>
      <c r="G73" s="234">
        <v>1</v>
      </c>
      <c r="H73" s="234"/>
      <c r="I73" s="234">
        <v>1</v>
      </c>
      <c r="J73" s="234"/>
      <c r="K73" s="234">
        <v>1</v>
      </c>
      <c r="L73" s="234">
        <v>1</v>
      </c>
      <c r="M73" s="234"/>
      <c r="N73" s="235"/>
      <c r="O73" s="234">
        <v>1</v>
      </c>
      <c r="P73" s="234"/>
      <c r="Q73" s="234"/>
      <c r="R73" s="234"/>
      <c r="S73" s="234">
        <v>1</v>
      </c>
      <c r="T73" s="234">
        <v>1</v>
      </c>
      <c r="U73" s="234"/>
      <c r="V73" s="234">
        <v>1</v>
      </c>
      <c r="W73" s="234"/>
      <c r="X73" s="234"/>
      <c r="Y73" s="234"/>
      <c r="Z73" s="234">
        <v>1</v>
      </c>
      <c r="AA73" s="234"/>
      <c r="AB73" s="234"/>
      <c r="AC73" s="234">
        <v>1</v>
      </c>
      <c r="AD73" s="234">
        <v>1</v>
      </c>
      <c r="AE73" s="234"/>
      <c r="AF73" s="234"/>
      <c r="AG73" s="236">
        <f t="shared" si="0"/>
        <v>16</v>
      </c>
      <c r="AH73" s="237" t="str">
        <f t="shared" si="1"/>
        <v>عادی</v>
      </c>
    </row>
    <row r="74" spans="2:34" ht="24.6" customHeight="1" thickBot="1" x14ac:dyDescent="0.3">
      <c r="B74" s="100">
        <v>66</v>
      </c>
      <c r="C74" s="238" t="s">
        <v>405</v>
      </c>
      <c r="D74" s="239" t="s">
        <v>406</v>
      </c>
      <c r="E74" s="234"/>
      <c r="F74" s="234"/>
      <c r="G74" s="234">
        <v>1</v>
      </c>
      <c r="H74" s="234"/>
      <c r="I74" s="234">
        <v>1</v>
      </c>
      <c r="J74" s="234"/>
      <c r="K74" s="234">
        <v>1</v>
      </c>
      <c r="L74" s="234"/>
      <c r="M74" s="234">
        <v>1</v>
      </c>
      <c r="N74" s="235"/>
      <c r="O74" s="234">
        <v>1</v>
      </c>
      <c r="P74" s="234"/>
      <c r="Q74" s="234"/>
      <c r="R74" s="234"/>
      <c r="S74" s="234">
        <v>1</v>
      </c>
      <c r="T74" s="234">
        <v>1</v>
      </c>
      <c r="U74" s="234"/>
      <c r="V74" s="234">
        <v>1</v>
      </c>
      <c r="W74" s="234"/>
      <c r="X74" s="234"/>
      <c r="Y74" s="234"/>
      <c r="Z74" s="234">
        <v>1</v>
      </c>
      <c r="AA74" s="234"/>
      <c r="AB74" s="234"/>
      <c r="AC74" s="234">
        <v>1</v>
      </c>
      <c r="AD74" s="234">
        <v>1</v>
      </c>
      <c r="AE74" s="234"/>
      <c r="AF74" s="234"/>
      <c r="AG74" s="236">
        <f t="shared" si="0"/>
        <v>14</v>
      </c>
      <c r="AH74" s="237" t="str">
        <f t="shared" ref="AH74:AH90" si="2">IF(AG74&gt;100,"کلیدی",IF(AG74&lt;80,"عادی","نیمه کلیدی"))</f>
        <v>عادی</v>
      </c>
    </row>
    <row r="75" spans="2:34" ht="24.6" customHeight="1" thickBot="1" x14ac:dyDescent="0.3">
      <c r="B75" s="100">
        <v>67</v>
      </c>
      <c r="C75" s="238" t="s">
        <v>407</v>
      </c>
      <c r="D75" s="239" t="s">
        <v>408</v>
      </c>
      <c r="E75" s="234"/>
      <c r="F75" s="234"/>
      <c r="G75" s="234">
        <v>1</v>
      </c>
      <c r="H75" s="234"/>
      <c r="I75" s="234">
        <v>1</v>
      </c>
      <c r="J75" s="234"/>
      <c r="K75" s="234">
        <v>1</v>
      </c>
      <c r="L75" s="234">
        <v>1</v>
      </c>
      <c r="M75" s="234"/>
      <c r="N75" s="235"/>
      <c r="O75" s="234">
        <v>1</v>
      </c>
      <c r="P75" s="234"/>
      <c r="Q75" s="234"/>
      <c r="R75" s="234"/>
      <c r="S75" s="234">
        <v>1</v>
      </c>
      <c r="T75" s="234">
        <v>1</v>
      </c>
      <c r="U75" s="234"/>
      <c r="V75" s="234">
        <v>1</v>
      </c>
      <c r="W75" s="234"/>
      <c r="X75" s="234"/>
      <c r="Y75" s="234"/>
      <c r="Z75" s="234">
        <v>1</v>
      </c>
      <c r="AA75" s="234"/>
      <c r="AB75" s="234"/>
      <c r="AC75" s="234">
        <v>1</v>
      </c>
      <c r="AD75" s="234">
        <v>1</v>
      </c>
      <c r="AE75" s="234"/>
      <c r="AF75" s="234"/>
      <c r="AG75" s="236">
        <f t="shared" ref="AG75:AG90" si="3">SUMPRODUCT(E75:AF75,$E$7:$AF$7,$E$6:$AF$6)</f>
        <v>16</v>
      </c>
      <c r="AH75" s="237" t="str">
        <f t="shared" si="2"/>
        <v>عادی</v>
      </c>
    </row>
    <row r="76" spans="2:34" ht="24.6" customHeight="1" thickBot="1" x14ac:dyDescent="0.3">
      <c r="B76" s="100">
        <v>68</v>
      </c>
      <c r="C76" s="238" t="s">
        <v>409</v>
      </c>
      <c r="D76" s="239" t="s">
        <v>410</v>
      </c>
      <c r="E76" s="234"/>
      <c r="F76" s="234"/>
      <c r="G76" s="234">
        <v>1</v>
      </c>
      <c r="H76" s="234"/>
      <c r="I76" s="234">
        <v>1</v>
      </c>
      <c r="J76" s="234"/>
      <c r="K76" s="234">
        <v>1</v>
      </c>
      <c r="L76" s="234"/>
      <c r="M76" s="234">
        <v>1</v>
      </c>
      <c r="N76" s="235"/>
      <c r="O76" s="234">
        <v>1</v>
      </c>
      <c r="P76" s="234"/>
      <c r="Q76" s="234"/>
      <c r="R76" s="234"/>
      <c r="S76" s="234">
        <v>1</v>
      </c>
      <c r="T76" s="234">
        <v>1</v>
      </c>
      <c r="U76" s="234"/>
      <c r="V76" s="234">
        <v>1</v>
      </c>
      <c r="W76" s="234"/>
      <c r="X76" s="234"/>
      <c r="Y76" s="234"/>
      <c r="Z76" s="234">
        <v>1</v>
      </c>
      <c r="AA76" s="234"/>
      <c r="AB76" s="234"/>
      <c r="AC76" s="234">
        <v>1</v>
      </c>
      <c r="AD76" s="234">
        <v>1</v>
      </c>
      <c r="AE76" s="234"/>
      <c r="AF76" s="234"/>
      <c r="AG76" s="236">
        <f t="shared" si="3"/>
        <v>14</v>
      </c>
      <c r="AH76" s="237" t="str">
        <f t="shared" si="2"/>
        <v>عادی</v>
      </c>
    </row>
    <row r="77" spans="2:34" ht="24.6" customHeight="1" thickBot="1" x14ac:dyDescent="0.3">
      <c r="B77" s="100">
        <v>69</v>
      </c>
      <c r="C77" s="238" t="s">
        <v>411</v>
      </c>
      <c r="D77" s="239" t="s">
        <v>412</v>
      </c>
      <c r="E77" s="234"/>
      <c r="F77" s="234"/>
      <c r="G77" s="234">
        <v>1</v>
      </c>
      <c r="H77" s="234"/>
      <c r="I77" s="234">
        <v>1</v>
      </c>
      <c r="J77" s="234">
        <v>1</v>
      </c>
      <c r="K77" s="234"/>
      <c r="L77" s="234"/>
      <c r="M77" s="234">
        <v>1</v>
      </c>
      <c r="N77" s="235"/>
      <c r="O77" s="234">
        <v>1</v>
      </c>
      <c r="P77" s="234"/>
      <c r="Q77" s="234"/>
      <c r="R77" s="234"/>
      <c r="S77" s="234">
        <v>1</v>
      </c>
      <c r="T77" s="234"/>
      <c r="U77" s="234">
        <v>1</v>
      </c>
      <c r="V77" s="234">
        <v>1</v>
      </c>
      <c r="W77" s="234"/>
      <c r="X77" s="234"/>
      <c r="Y77" s="234"/>
      <c r="Z77" s="234">
        <v>1</v>
      </c>
      <c r="AA77" s="234"/>
      <c r="AB77" s="234"/>
      <c r="AC77" s="234">
        <v>1</v>
      </c>
      <c r="AD77" s="234"/>
      <c r="AE77" s="234">
        <v>1</v>
      </c>
      <c r="AF77" s="234"/>
      <c r="AG77" s="236">
        <f t="shared" si="3"/>
        <v>47</v>
      </c>
      <c r="AH77" s="237" t="str">
        <f t="shared" si="2"/>
        <v>عادی</v>
      </c>
    </row>
    <row r="78" spans="2:34" ht="24.6" customHeight="1" thickBot="1" x14ac:dyDescent="0.3">
      <c r="B78" s="100">
        <v>70</v>
      </c>
      <c r="C78" s="232" t="s">
        <v>413</v>
      </c>
      <c r="D78" s="239" t="s">
        <v>414</v>
      </c>
      <c r="E78" s="234"/>
      <c r="F78" s="234"/>
      <c r="G78" s="234">
        <v>1</v>
      </c>
      <c r="H78" s="234"/>
      <c r="I78" s="234">
        <v>1</v>
      </c>
      <c r="J78" s="234">
        <v>1</v>
      </c>
      <c r="K78" s="234"/>
      <c r="L78" s="234"/>
      <c r="M78" s="234">
        <v>1</v>
      </c>
      <c r="N78" s="235"/>
      <c r="O78" s="234">
        <v>1</v>
      </c>
      <c r="P78" s="234"/>
      <c r="Q78" s="234"/>
      <c r="R78" s="234"/>
      <c r="S78" s="234">
        <v>1</v>
      </c>
      <c r="T78" s="234"/>
      <c r="U78" s="234">
        <v>1</v>
      </c>
      <c r="V78" s="234">
        <v>1</v>
      </c>
      <c r="W78" s="234"/>
      <c r="X78" s="234"/>
      <c r="Y78" s="234"/>
      <c r="Z78" s="234">
        <v>1</v>
      </c>
      <c r="AA78" s="234"/>
      <c r="AB78" s="234"/>
      <c r="AC78" s="234">
        <v>1</v>
      </c>
      <c r="AD78" s="234"/>
      <c r="AE78" s="234">
        <v>1</v>
      </c>
      <c r="AF78" s="234"/>
      <c r="AG78" s="236">
        <f t="shared" si="3"/>
        <v>47</v>
      </c>
      <c r="AH78" s="237" t="str">
        <f t="shared" si="2"/>
        <v>عادی</v>
      </c>
    </row>
    <row r="79" spans="2:34" ht="24.6" customHeight="1" thickBot="1" x14ac:dyDescent="0.3">
      <c r="B79" s="100">
        <v>71</v>
      </c>
      <c r="C79" s="242" t="s">
        <v>440</v>
      </c>
      <c r="D79" s="233" t="s">
        <v>421</v>
      </c>
      <c r="E79" s="234"/>
      <c r="F79" s="234">
        <v>1</v>
      </c>
      <c r="G79" s="234"/>
      <c r="H79" s="234"/>
      <c r="I79" s="234">
        <v>1</v>
      </c>
      <c r="J79" s="234">
        <v>1</v>
      </c>
      <c r="K79" s="234"/>
      <c r="L79" s="234"/>
      <c r="M79" s="234">
        <v>1</v>
      </c>
      <c r="N79" s="235"/>
      <c r="O79" s="234">
        <v>1</v>
      </c>
      <c r="P79" s="234"/>
      <c r="Q79" s="234"/>
      <c r="R79" s="234"/>
      <c r="S79" s="234"/>
      <c r="T79" s="234"/>
      <c r="U79" s="234">
        <v>1</v>
      </c>
      <c r="V79" s="243">
        <v>1</v>
      </c>
      <c r="W79" s="243"/>
      <c r="X79" s="243"/>
      <c r="Y79" s="243"/>
      <c r="Z79" s="243">
        <v>1</v>
      </c>
      <c r="AA79" s="243"/>
      <c r="AB79" s="243"/>
      <c r="AC79" s="243">
        <v>1</v>
      </c>
      <c r="AD79" s="243"/>
      <c r="AE79" s="243"/>
      <c r="AF79" s="243">
        <v>1</v>
      </c>
      <c r="AG79" s="236">
        <f t="shared" si="3"/>
        <v>53</v>
      </c>
      <c r="AH79" s="237" t="str">
        <f t="shared" si="2"/>
        <v>عادی</v>
      </c>
    </row>
    <row r="80" spans="2:34" ht="24.6" customHeight="1" thickBot="1" x14ac:dyDescent="0.3">
      <c r="B80" s="100">
        <v>72</v>
      </c>
      <c r="C80" s="232" t="s">
        <v>419</v>
      </c>
      <c r="D80" s="233" t="s">
        <v>422</v>
      </c>
      <c r="E80" s="234"/>
      <c r="F80" s="234">
        <v>1</v>
      </c>
      <c r="G80" s="234"/>
      <c r="H80" s="234"/>
      <c r="I80" s="234">
        <v>1</v>
      </c>
      <c r="J80" s="234">
        <v>1</v>
      </c>
      <c r="K80" s="234"/>
      <c r="L80" s="234"/>
      <c r="M80" s="234">
        <v>1</v>
      </c>
      <c r="N80" s="235"/>
      <c r="O80" s="234">
        <v>1</v>
      </c>
      <c r="P80" s="234"/>
      <c r="Q80" s="234"/>
      <c r="R80" s="234"/>
      <c r="S80" s="234"/>
      <c r="T80" s="234"/>
      <c r="U80" s="234">
        <v>1</v>
      </c>
      <c r="V80" s="234">
        <v>1</v>
      </c>
      <c r="W80" s="234"/>
      <c r="X80" s="234"/>
      <c r="Y80" s="234"/>
      <c r="Z80" s="234">
        <v>1</v>
      </c>
      <c r="AA80" s="234"/>
      <c r="AB80" s="234"/>
      <c r="AC80" s="234">
        <v>1</v>
      </c>
      <c r="AD80" s="234"/>
      <c r="AE80" s="234"/>
      <c r="AF80" s="234">
        <v>1</v>
      </c>
      <c r="AG80" s="236">
        <f t="shared" si="3"/>
        <v>53</v>
      </c>
      <c r="AH80" s="237" t="str">
        <f t="shared" si="2"/>
        <v>عادی</v>
      </c>
    </row>
    <row r="81" spans="2:35" ht="24.6" customHeight="1" thickBot="1" x14ac:dyDescent="0.3">
      <c r="B81" s="100">
        <v>73</v>
      </c>
      <c r="C81" s="232" t="s">
        <v>420</v>
      </c>
      <c r="D81" s="233" t="s">
        <v>423</v>
      </c>
      <c r="E81" s="234"/>
      <c r="F81" s="234"/>
      <c r="G81" s="234">
        <v>1</v>
      </c>
      <c r="H81" s="234"/>
      <c r="I81" s="234">
        <v>1</v>
      </c>
      <c r="J81" s="234">
        <v>1</v>
      </c>
      <c r="K81" s="234"/>
      <c r="L81" s="234"/>
      <c r="M81" s="234">
        <v>1</v>
      </c>
      <c r="N81" s="235"/>
      <c r="O81" s="234">
        <v>1</v>
      </c>
      <c r="P81" s="234"/>
      <c r="Q81" s="234"/>
      <c r="R81" s="234"/>
      <c r="S81" s="234"/>
      <c r="T81" s="234"/>
      <c r="U81" s="234">
        <v>1</v>
      </c>
      <c r="V81" s="234">
        <v>1</v>
      </c>
      <c r="W81" s="234"/>
      <c r="X81" s="234"/>
      <c r="Y81" s="234"/>
      <c r="Z81" s="234">
        <v>1</v>
      </c>
      <c r="AA81" s="234"/>
      <c r="AB81" s="234"/>
      <c r="AC81" s="234">
        <v>1</v>
      </c>
      <c r="AD81" s="234"/>
      <c r="AE81" s="234"/>
      <c r="AF81" s="234">
        <v>1</v>
      </c>
      <c r="AG81" s="236">
        <f t="shared" si="3"/>
        <v>44</v>
      </c>
      <c r="AH81" s="237" t="str">
        <f t="shared" si="2"/>
        <v>عادی</v>
      </c>
    </row>
    <row r="82" spans="2:35" ht="24.6" customHeight="1" thickBot="1" x14ac:dyDescent="0.3">
      <c r="B82" s="100">
        <v>74</v>
      </c>
      <c r="C82" s="232" t="s">
        <v>424</v>
      </c>
      <c r="D82" s="244" t="s">
        <v>425</v>
      </c>
      <c r="E82" s="234">
        <v>1</v>
      </c>
      <c r="F82" s="234"/>
      <c r="G82" s="234"/>
      <c r="H82" s="234">
        <v>1</v>
      </c>
      <c r="I82" s="234"/>
      <c r="J82" s="234"/>
      <c r="K82" s="234">
        <v>1</v>
      </c>
      <c r="L82" s="234"/>
      <c r="M82" s="234">
        <v>1</v>
      </c>
      <c r="N82" s="235">
        <v>1</v>
      </c>
      <c r="O82" s="234"/>
      <c r="P82" s="234"/>
      <c r="Q82" s="234"/>
      <c r="R82" s="234"/>
      <c r="S82" s="234"/>
      <c r="T82" s="234"/>
      <c r="U82" s="234">
        <v>1</v>
      </c>
      <c r="V82" s="243">
        <v>1</v>
      </c>
      <c r="W82" s="243"/>
      <c r="X82" s="243"/>
      <c r="Y82" s="243"/>
      <c r="Z82" s="243"/>
      <c r="AA82" s="243"/>
      <c r="AB82" s="243">
        <v>1</v>
      </c>
      <c r="AC82" s="243"/>
      <c r="AD82" s="243"/>
      <c r="AE82" s="243">
        <v>1</v>
      </c>
      <c r="AF82" s="243"/>
      <c r="AG82" s="236">
        <f t="shared" si="3"/>
        <v>86</v>
      </c>
      <c r="AH82" s="237" t="str">
        <f t="shared" si="2"/>
        <v>نیمه کلیدی</v>
      </c>
    </row>
    <row r="83" spans="2:35" ht="24.6" customHeight="1" thickBot="1" x14ac:dyDescent="0.3">
      <c r="B83" s="100">
        <v>75</v>
      </c>
      <c r="C83" s="232" t="s">
        <v>426</v>
      </c>
      <c r="D83" s="244" t="s">
        <v>427</v>
      </c>
      <c r="E83" s="234"/>
      <c r="F83" s="234"/>
      <c r="G83" s="234">
        <v>1</v>
      </c>
      <c r="H83" s="234"/>
      <c r="I83" s="234">
        <v>1</v>
      </c>
      <c r="J83" s="234">
        <v>1</v>
      </c>
      <c r="K83" s="234"/>
      <c r="L83" s="234"/>
      <c r="M83" s="234">
        <v>1</v>
      </c>
      <c r="N83" s="235"/>
      <c r="O83" s="234">
        <v>1</v>
      </c>
      <c r="P83" s="234"/>
      <c r="Q83" s="234"/>
      <c r="R83" s="234"/>
      <c r="S83" s="234"/>
      <c r="T83" s="234"/>
      <c r="U83" s="234">
        <v>1</v>
      </c>
      <c r="V83" s="243">
        <v>1</v>
      </c>
      <c r="W83" s="243"/>
      <c r="X83" s="243"/>
      <c r="Y83" s="243"/>
      <c r="Z83" s="243"/>
      <c r="AA83" s="243"/>
      <c r="AB83" s="243"/>
      <c r="AC83" s="243">
        <v>1</v>
      </c>
      <c r="AD83" s="243"/>
      <c r="AE83" s="243">
        <v>1</v>
      </c>
      <c r="AF83" s="243"/>
      <c r="AG83" s="236">
        <f t="shared" si="3"/>
        <v>47</v>
      </c>
      <c r="AH83" s="237" t="str">
        <f t="shared" si="2"/>
        <v>عادی</v>
      </c>
    </row>
    <row r="84" spans="2:35" ht="24.6" customHeight="1" thickBot="1" x14ac:dyDescent="0.3">
      <c r="B84" s="100">
        <v>76</v>
      </c>
      <c r="C84" s="232" t="s">
        <v>428</v>
      </c>
      <c r="D84" s="245" t="s">
        <v>429</v>
      </c>
      <c r="E84" s="234"/>
      <c r="F84" s="234">
        <v>1</v>
      </c>
      <c r="G84" s="234"/>
      <c r="H84" s="234">
        <v>1</v>
      </c>
      <c r="I84" s="234"/>
      <c r="J84" s="234"/>
      <c r="K84" s="234">
        <v>1</v>
      </c>
      <c r="L84" s="234"/>
      <c r="M84" s="234">
        <v>1</v>
      </c>
      <c r="N84" s="235">
        <v>1</v>
      </c>
      <c r="O84" s="234"/>
      <c r="P84" s="234"/>
      <c r="Q84" s="234"/>
      <c r="R84" s="234"/>
      <c r="S84" s="234"/>
      <c r="T84" s="234"/>
      <c r="U84" s="234">
        <v>1</v>
      </c>
      <c r="V84" s="243"/>
      <c r="W84" s="243">
        <v>1</v>
      </c>
      <c r="X84" s="243"/>
      <c r="Y84" s="243"/>
      <c r="Z84" s="243"/>
      <c r="AA84" s="243"/>
      <c r="AB84" s="243">
        <v>1</v>
      </c>
      <c r="AC84" s="243"/>
      <c r="AD84" s="243"/>
      <c r="AE84" s="243">
        <v>1</v>
      </c>
      <c r="AF84" s="243"/>
      <c r="AG84" s="236">
        <f t="shared" si="3"/>
        <v>70</v>
      </c>
      <c r="AH84" s="237" t="str">
        <f t="shared" si="2"/>
        <v>عادی</v>
      </c>
    </row>
    <row r="85" spans="2:35" ht="24.6" customHeight="1" thickBot="1" x14ac:dyDescent="0.3">
      <c r="B85" s="100">
        <v>77</v>
      </c>
      <c r="C85" s="232" t="s">
        <v>430</v>
      </c>
      <c r="D85" s="245" t="s">
        <v>431</v>
      </c>
      <c r="E85" s="234"/>
      <c r="F85" s="234"/>
      <c r="G85" s="234">
        <v>1</v>
      </c>
      <c r="H85" s="234"/>
      <c r="I85" s="234">
        <v>1</v>
      </c>
      <c r="J85" s="234">
        <v>1</v>
      </c>
      <c r="K85" s="234"/>
      <c r="L85" s="234"/>
      <c r="M85" s="234">
        <v>1</v>
      </c>
      <c r="N85" s="235"/>
      <c r="O85" s="234">
        <v>1</v>
      </c>
      <c r="P85" s="234"/>
      <c r="Q85" s="234"/>
      <c r="R85" s="234"/>
      <c r="S85" s="234"/>
      <c r="T85" s="234"/>
      <c r="U85" s="234">
        <v>1</v>
      </c>
      <c r="V85" s="243">
        <v>1</v>
      </c>
      <c r="W85" s="243"/>
      <c r="X85" s="243"/>
      <c r="Y85" s="243"/>
      <c r="Z85" s="243"/>
      <c r="AA85" s="243"/>
      <c r="AB85" s="243"/>
      <c r="AC85" s="243">
        <v>1</v>
      </c>
      <c r="AD85" s="243"/>
      <c r="AE85" s="243"/>
      <c r="AF85" s="243">
        <v>1</v>
      </c>
      <c r="AG85" s="236">
        <f t="shared" si="3"/>
        <v>44</v>
      </c>
      <c r="AH85" s="237" t="str">
        <f t="shared" si="2"/>
        <v>عادی</v>
      </c>
    </row>
    <row r="86" spans="2:35" ht="24.6" customHeight="1" thickBot="1" x14ac:dyDescent="0.3">
      <c r="B86" s="100">
        <v>78</v>
      </c>
      <c r="C86" s="242" t="s">
        <v>432</v>
      </c>
      <c r="D86" s="245" t="s">
        <v>433</v>
      </c>
      <c r="E86" s="234"/>
      <c r="F86" s="234"/>
      <c r="G86" s="234">
        <v>1</v>
      </c>
      <c r="H86" s="234"/>
      <c r="I86" s="234">
        <v>1</v>
      </c>
      <c r="J86" s="234">
        <v>1</v>
      </c>
      <c r="K86" s="234"/>
      <c r="L86" s="234"/>
      <c r="M86" s="234">
        <v>1</v>
      </c>
      <c r="N86" s="235"/>
      <c r="O86" s="234"/>
      <c r="P86" s="234">
        <v>1</v>
      </c>
      <c r="Q86" s="234"/>
      <c r="R86" s="234"/>
      <c r="S86" s="234"/>
      <c r="T86" s="234"/>
      <c r="U86" s="234">
        <v>1</v>
      </c>
      <c r="V86" s="243">
        <v>1</v>
      </c>
      <c r="W86" s="243"/>
      <c r="X86" s="243"/>
      <c r="Y86" s="243"/>
      <c r="Z86" s="243"/>
      <c r="AA86" s="243"/>
      <c r="AB86" s="243"/>
      <c r="AC86" s="243">
        <v>1</v>
      </c>
      <c r="AD86" s="243"/>
      <c r="AE86" s="243"/>
      <c r="AF86" s="243">
        <v>1</v>
      </c>
      <c r="AG86" s="236">
        <f t="shared" si="3"/>
        <v>38</v>
      </c>
      <c r="AH86" s="237" t="str">
        <f t="shared" si="2"/>
        <v>عادی</v>
      </c>
    </row>
    <row r="87" spans="2:35" ht="24.6" customHeight="1" thickBot="1" x14ac:dyDescent="0.3">
      <c r="B87" s="100">
        <v>79</v>
      </c>
      <c r="C87" s="232" t="s">
        <v>434</v>
      </c>
      <c r="D87" s="245" t="s">
        <v>435</v>
      </c>
      <c r="E87" s="234"/>
      <c r="F87" s="234"/>
      <c r="G87" s="234">
        <v>1</v>
      </c>
      <c r="H87" s="234"/>
      <c r="I87" s="234">
        <v>1</v>
      </c>
      <c r="J87" s="234">
        <v>1</v>
      </c>
      <c r="K87" s="234"/>
      <c r="L87" s="234"/>
      <c r="M87" s="234">
        <v>1</v>
      </c>
      <c r="N87" s="235"/>
      <c r="O87" s="234"/>
      <c r="P87" s="234">
        <v>1</v>
      </c>
      <c r="Q87" s="234"/>
      <c r="R87" s="234"/>
      <c r="S87" s="234"/>
      <c r="T87" s="234"/>
      <c r="U87" s="234">
        <v>1</v>
      </c>
      <c r="V87" s="243">
        <v>1</v>
      </c>
      <c r="W87" s="243"/>
      <c r="X87" s="243"/>
      <c r="Y87" s="243"/>
      <c r="Z87" s="243"/>
      <c r="AA87" s="243"/>
      <c r="AB87" s="243"/>
      <c r="AC87" s="243">
        <v>1</v>
      </c>
      <c r="AD87" s="243"/>
      <c r="AE87" s="243"/>
      <c r="AF87" s="243">
        <v>1</v>
      </c>
      <c r="AG87" s="236">
        <f t="shared" si="3"/>
        <v>38</v>
      </c>
      <c r="AH87" s="237" t="str">
        <f t="shared" si="2"/>
        <v>عادی</v>
      </c>
    </row>
    <row r="88" spans="2:35" ht="24.6" customHeight="1" thickBot="1" x14ac:dyDescent="0.3">
      <c r="B88" s="100">
        <v>80</v>
      </c>
      <c r="C88" s="232" t="s">
        <v>436</v>
      </c>
      <c r="D88" s="245" t="s">
        <v>437</v>
      </c>
      <c r="E88" s="234"/>
      <c r="F88" s="234"/>
      <c r="G88" s="234">
        <v>1</v>
      </c>
      <c r="H88" s="234"/>
      <c r="I88" s="234">
        <v>1</v>
      </c>
      <c r="J88" s="234">
        <v>1</v>
      </c>
      <c r="K88" s="234"/>
      <c r="L88" s="234"/>
      <c r="M88" s="234">
        <v>1</v>
      </c>
      <c r="N88" s="235"/>
      <c r="O88" s="234"/>
      <c r="P88" s="234">
        <v>1</v>
      </c>
      <c r="Q88" s="234"/>
      <c r="R88" s="234"/>
      <c r="S88" s="234"/>
      <c r="T88" s="234"/>
      <c r="U88" s="234">
        <v>1</v>
      </c>
      <c r="V88" s="243">
        <v>1</v>
      </c>
      <c r="W88" s="243"/>
      <c r="X88" s="243"/>
      <c r="Y88" s="243"/>
      <c r="Z88" s="243"/>
      <c r="AA88" s="243"/>
      <c r="AB88" s="243"/>
      <c r="AC88" s="243">
        <v>1</v>
      </c>
      <c r="AD88" s="243"/>
      <c r="AE88" s="243"/>
      <c r="AF88" s="243">
        <v>1</v>
      </c>
      <c r="AG88" s="236">
        <f t="shared" si="3"/>
        <v>38</v>
      </c>
      <c r="AH88" s="237" t="str">
        <f t="shared" si="2"/>
        <v>عادی</v>
      </c>
    </row>
    <row r="89" spans="2:35" ht="24.6" customHeight="1" thickBot="1" x14ac:dyDescent="0.3">
      <c r="B89" s="100">
        <v>81</v>
      </c>
      <c r="C89" s="232" t="s">
        <v>438</v>
      </c>
      <c r="D89" s="245" t="s">
        <v>439</v>
      </c>
      <c r="E89" s="234"/>
      <c r="F89" s="234"/>
      <c r="G89" s="234">
        <v>1</v>
      </c>
      <c r="H89" s="234"/>
      <c r="I89" s="234">
        <v>1</v>
      </c>
      <c r="J89" s="234">
        <v>1</v>
      </c>
      <c r="K89" s="234"/>
      <c r="L89" s="234"/>
      <c r="M89" s="234">
        <v>1</v>
      </c>
      <c r="N89" s="235"/>
      <c r="O89" s="234"/>
      <c r="P89" s="234">
        <v>1</v>
      </c>
      <c r="Q89" s="234"/>
      <c r="R89" s="234"/>
      <c r="S89" s="234"/>
      <c r="T89" s="234"/>
      <c r="U89" s="234">
        <v>1</v>
      </c>
      <c r="V89" s="243">
        <v>1</v>
      </c>
      <c r="W89" s="243"/>
      <c r="X89" s="243"/>
      <c r="Y89" s="243"/>
      <c r="Z89" s="243"/>
      <c r="AA89" s="243"/>
      <c r="AB89" s="243"/>
      <c r="AC89" s="243">
        <v>1</v>
      </c>
      <c r="AD89" s="243"/>
      <c r="AE89" s="243"/>
      <c r="AF89" s="243">
        <v>1</v>
      </c>
      <c r="AG89" s="236">
        <f t="shared" si="3"/>
        <v>38</v>
      </c>
      <c r="AH89" s="237" t="str">
        <f t="shared" si="2"/>
        <v>عادی</v>
      </c>
    </row>
    <row r="90" spans="2:35" ht="24.6" customHeight="1" thickBot="1" x14ac:dyDescent="0.3">
      <c r="C90" s="242" t="s">
        <v>441</v>
      </c>
      <c r="D90" s="233" t="s">
        <v>442</v>
      </c>
      <c r="E90" s="234"/>
      <c r="F90" s="234">
        <v>1</v>
      </c>
      <c r="G90" s="234"/>
      <c r="H90" s="234"/>
      <c r="I90" s="234">
        <v>1</v>
      </c>
      <c r="J90" s="234">
        <v>1</v>
      </c>
      <c r="K90" s="234"/>
      <c r="L90" s="234"/>
      <c r="M90" s="234">
        <v>1</v>
      </c>
      <c r="N90" s="235"/>
      <c r="O90" s="234">
        <v>1</v>
      </c>
      <c r="P90" s="234"/>
      <c r="Q90" s="234"/>
      <c r="R90" s="234"/>
      <c r="S90" s="234"/>
      <c r="T90" s="234"/>
      <c r="U90" s="234">
        <v>1</v>
      </c>
      <c r="V90" s="243">
        <v>1</v>
      </c>
      <c r="W90" s="243"/>
      <c r="X90" s="243"/>
      <c r="Y90" s="243"/>
      <c r="Z90" s="243"/>
      <c r="AA90" s="243"/>
      <c r="AB90" s="243"/>
      <c r="AC90" s="243">
        <v>1</v>
      </c>
      <c r="AD90" s="243"/>
      <c r="AE90" s="243"/>
      <c r="AF90" s="243">
        <v>1</v>
      </c>
      <c r="AG90" s="236">
        <f t="shared" si="3"/>
        <v>53</v>
      </c>
      <c r="AH90" s="237" t="str">
        <f t="shared" si="2"/>
        <v>عادی</v>
      </c>
    </row>
    <row r="91" spans="2:35" ht="23.25" thickBot="1" x14ac:dyDescent="0.3">
      <c r="C91" s="246" t="s">
        <v>452</v>
      </c>
      <c r="D91" s="247" t="s">
        <v>453</v>
      </c>
      <c r="E91" s="248">
        <v>1</v>
      </c>
      <c r="F91" s="248"/>
      <c r="G91" s="248"/>
      <c r="H91" s="248">
        <v>1</v>
      </c>
      <c r="I91" s="248"/>
      <c r="J91" s="248">
        <v>1</v>
      </c>
      <c r="K91" s="248"/>
      <c r="L91" s="248"/>
      <c r="M91" s="248"/>
      <c r="N91" s="248">
        <v>1</v>
      </c>
      <c r="O91" s="248"/>
      <c r="P91" s="248"/>
      <c r="Q91" s="248"/>
      <c r="R91" s="248"/>
      <c r="S91" s="248"/>
      <c r="T91" s="248"/>
      <c r="U91" s="248">
        <v>1</v>
      </c>
      <c r="V91" s="248">
        <v>1</v>
      </c>
      <c r="W91" s="248"/>
      <c r="X91" s="248"/>
      <c r="Y91" s="248"/>
      <c r="Z91" s="248"/>
      <c r="AA91" s="248">
        <v>1</v>
      </c>
      <c r="AB91" s="248"/>
      <c r="AC91" s="248"/>
      <c r="AD91" s="248">
        <v>1</v>
      </c>
      <c r="AE91" s="248"/>
      <c r="AF91" s="248"/>
      <c r="AG91" s="236">
        <f t="shared" ref="AG91:AG97" si="4">SUMPRODUCT(E91:AF91,$E$7:$AF$7,$E$6:$AF$6)</f>
        <v>130</v>
      </c>
      <c r="AH91" s="237" t="str">
        <f t="shared" ref="AH91:AH97" si="5">IF(AG91&gt;100,"کلیدی",IF(AG91&lt;80,"عادی","نیمه کلیدی"))</f>
        <v>کلیدی</v>
      </c>
      <c r="AI91" t="s">
        <v>512</v>
      </c>
    </row>
    <row r="92" spans="2:35" ht="23.25" thickBot="1" x14ac:dyDescent="0.3">
      <c r="C92" s="246" t="s">
        <v>454</v>
      </c>
      <c r="D92" s="247" t="s">
        <v>455</v>
      </c>
      <c r="E92" s="248">
        <v>1</v>
      </c>
      <c r="F92" s="248"/>
      <c r="G92" s="248"/>
      <c r="H92" s="248">
        <v>1</v>
      </c>
      <c r="I92" s="248"/>
      <c r="J92" s="248">
        <v>1</v>
      </c>
      <c r="K92" s="248"/>
      <c r="L92" s="248"/>
      <c r="M92" s="248"/>
      <c r="N92" s="248">
        <v>1</v>
      </c>
      <c r="O92" s="248"/>
      <c r="P92" s="248"/>
      <c r="Q92" s="248"/>
      <c r="R92" s="248"/>
      <c r="S92" s="248"/>
      <c r="T92" s="248"/>
      <c r="U92" s="248">
        <v>1</v>
      </c>
      <c r="V92" s="248">
        <v>1</v>
      </c>
      <c r="W92" s="248"/>
      <c r="X92" s="248"/>
      <c r="Y92" s="248"/>
      <c r="Z92" s="248"/>
      <c r="AA92" s="248">
        <v>1</v>
      </c>
      <c r="AB92" s="248"/>
      <c r="AC92" s="248"/>
      <c r="AD92" s="248">
        <v>1</v>
      </c>
      <c r="AE92" s="248"/>
      <c r="AF92" s="248"/>
      <c r="AG92" s="236">
        <f t="shared" si="4"/>
        <v>130</v>
      </c>
      <c r="AH92" s="237" t="str">
        <f t="shared" si="5"/>
        <v>کلیدی</v>
      </c>
      <c r="AI92" t="s">
        <v>512</v>
      </c>
    </row>
    <row r="93" spans="2:35" ht="23.25" thickBot="1" x14ac:dyDescent="0.3">
      <c r="C93" s="246" t="s">
        <v>456</v>
      </c>
      <c r="D93" s="247" t="s">
        <v>457</v>
      </c>
      <c r="E93" s="248"/>
      <c r="F93" s="248"/>
      <c r="G93" s="248">
        <v>1</v>
      </c>
      <c r="H93" s="248"/>
      <c r="I93" s="248">
        <v>1</v>
      </c>
      <c r="J93" s="248">
        <v>1</v>
      </c>
      <c r="K93" s="248"/>
      <c r="L93" s="248"/>
      <c r="M93" s="248"/>
      <c r="N93" s="248"/>
      <c r="O93" s="248"/>
      <c r="P93" s="248">
        <v>1</v>
      </c>
      <c r="Q93" s="248"/>
      <c r="R93" s="248"/>
      <c r="S93" s="248"/>
      <c r="T93" s="248"/>
      <c r="U93" s="248">
        <v>1</v>
      </c>
      <c r="V93" s="248">
        <v>1</v>
      </c>
      <c r="W93" s="248"/>
      <c r="X93" s="248"/>
      <c r="Y93" s="248"/>
      <c r="Z93" s="248"/>
      <c r="AA93" s="248"/>
      <c r="AB93" s="248"/>
      <c r="AC93" s="248">
        <v>1</v>
      </c>
      <c r="AD93" s="248"/>
      <c r="AE93" s="248">
        <v>1</v>
      </c>
      <c r="AF93" s="248"/>
      <c r="AG93" s="236">
        <f t="shared" si="4"/>
        <v>38</v>
      </c>
      <c r="AH93" s="237" t="str">
        <f t="shared" si="5"/>
        <v>عادی</v>
      </c>
    </row>
    <row r="94" spans="2:35" ht="23.25" thickBot="1" x14ac:dyDescent="0.3">
      <c r="C94" s="246" t="s">
        <v>458</v>
      </c>
      <c r="D94" s="247" t="s">
        <v>459</v>
      </c>
      <c r="E94" s="248">
        <v>1</v>
      </c>
      <c r="F94" s="248"/>
      <c r="G94" s="248"/>
      <c r="H94" s="248">
        <v>1</v>
      </c>
      <c r="I94" s="248"/>
      <c r="J94" s="248">
        <v>1</v>
      </c>
      <c r="K94" s="248"/>
      <c r="L94" s="248"/>
      <c r="M94" s="248"/>
      <c r="N94" s="248">
        <v>1</v>
      </c>
      <c r="O94" s="248"/>
      <c r="P94" s="248"/>
      <c r="Q94" s="248"/>
      <c r="R94" s="248"/>
      <c r="S94" s="248"/>
      <c r="T94" s="248"/>
      <c r="U94" s="248">
        <v>1</v>
      </c>
      <c r="V94" s="248">
        <v>1</v>
      </c>
      <c r="W94" s="248"/>
      <c r="X94" s="248"/>
      <c r="Y94" s="248"/>
      <c r="Z94" s="248"/>
      <c r="AA94" s="248">
        <v>1</v>
      </c>
      <c r="AB94" s="248"/>
      <c r="AC94" s="248"/>
      <c r="AD94" s="248">
        <v>1</v>
      </c>
      <c r="AE94" s="248"/>
      <c r="AF94" s="248"/>
      <c r="AG94" s="236">
        <f t="shared" si="4"/>
        <v>130</v>
      </c>
      <c r="AH94" s="237" t="str">
        <f t="shared" si="5"/>
        <v>کلیدی</v>
      </c>
      <c r="AI94" t="s">
        <v>512</v>
      </c>
    </row>
    <row r="95" spans="2:35" ht="23.25" thickBot="1" x14ac:dyDescent="0.3">
      <c r="C95" s="246" t="s">
        <v>460</v>
      </c>
      <c r="D95" s="247" t="s">
        <v>461</v>
      </c>
      <c r="E95" s="248"/>
      <c r="F95" s="248"/>
      <c r="G95" s="248">
        <v>1</v>
      </c>
      <c r="H95" s="248">
        <v>1</v>
      </c>
      <c r="I95" s="248"/>
      <c r="J95" s="248">
        <v>1</v>
      </c>
      <c r="K95" s="248"/>
      <c r="L95" s="248"/>
      <c r="M95" s="248"/>
      <c r="N95" s="248">
        <v>1</v>
      </c>
      <c r="O95" s="248"/>
      <c r="P95" s="248"/>
      <c r="Q95" s="248"/>
      <c r="R95" s="248"/>
      <c r="S95" s="248"/>
      <c r="T95" s="248"/>
      <c r="U95" s="248">
        <v>1</v>
      </c>
      <c r="V95" s="248">
        <v>1</v>
      </c>
      <c r="W95" s="248"/>
      <c r="X95" s="248"/>
      <c r="Y95" s="248"/>
      <c r="Z95" s="248"/>
      <c r="AA95" s="248"/>
      <c r="AB95" s="248">
        <v>1</v>
      </c>
      <c r="AC95" s="248"/>
      <c r="AD95" s="248"/>
      <c r="AE95" s="248">
        <v>1</v>
      </c>
      <c r="AF95" s="248"/>
      <c r="AG95" s="236">
        <f t="shared" si="4"/>
        <v>83</v>
      </c>
      <c r="AH95" s="237" t="str">
        <f t="shared" si="5"/>
        <v>نیمه کلیدی</v>
      </c>
    </row>
    <row r="96" spans="2:35" ht="23.25" thickBot="1" x14ac:dyDescent="0.3">
      <c r="C96" s="246" t="s">
        <v>462</v>
      </c>
      <c r="D96" s="247" t="s">
        <v>463</v>
      </c>
      <c r="E96" s="248"/>
      <c r="F96" s="248"/>
      <c r="G96" s="248">
        <v>1</v>
      </c>
      <c r="H96" s="248">
        <v>1</v>
      </c>
      <c r="I96" s="248"/>
      <c r="J96" s="248">
        <v>1</v>
      </c>
      <c r="K96" s="248"/>
      <c r="L96" s="248"/>
      <c r="M96" s="248"/>
      <c r="N96" s="248"/>
      <c r="O96" s="248">
        <v>1</v>
      </c>
      <c r="P96" s="248"/>
      <c r="Q96" s="248"/>
      <c r="R96" s="248"/>
      <c r="S96" s="248"/>
      <c r="T96" s="248"/>
      <c r="U96" s="248">
        <v>1</v>
      </c>
      <c r="V96" s="248">
        <v>1</v>
      </c>
      <c r="W96" s="248"/>
      <c r="X96" s="248"/>
      <c r="Y96" s="248"/>
      <c r="Z96" s="248"/>
      <c r="AA96" s="248"/>
      <c r="AB96" s="248">
        <v>1</v>
      </c>
      <c r="AC96" s="248"/>
      <c r="AD96" s="248"/>
      <c r="AE96" s="248">
        <v>1</v>
      </c>
      <c r="AF96" s="248"/>
      <c r="AG96" s="236">
        <f t="shared" si="4"/>
        <v>69</v>
      </c>
      <c r="AH96" s="237" t="str">
        <f t="shared" si="5"/>
        <v>عادی</v>
      </c>
    </row>
    <row r="97" spans="3:35" ht="23.25" thickBot="1" x14ac:dyDescent="0.3">
      <c r="C97" s="249" t="s">
        <v>464</v>
      </c>
      <c r="D97" s="247" t="s">
        <v>465</v>
      </c>
      <c r="E97" s="248"/>
      <c r="F97" s="248"/>
      <c r="G97" s="248">
        <v>1</v>
      </c>
      <c r="H97" s="248">
        <v>1</v>
      </c>
      <c r="I97" s="248"/>
      <c r="J97" s="248">
        <v>1</v>
      </c>
      <c r="K97" s="248"/>
      <c r="L97" s="248"/>
      <c r="M97" s="248"/>
      <c r="N97" s="248"/>
      <c r="O97" s="248">
        <v>1</v>
      </c>
      <c r="P97" s="248"/>
      <c r="Q97" s="248"/>
      <c r="R97" s="248"/>
      <c r="S97" s="248"/>
      <c r="T97" s="248"/>
      <c r="U97" s="248">
        <v>1</v>
      </c>
      <c r="V97" s="248">
        <v>1</v>
      </c>
      <c r="W97" s="248"/>
      <c r="X97" s="248"/>
      <c r="Y97" s="248"/>
      <c r="Z97" s="248"/>
      <c r="AA97" s="248"/>
      <c r="AB97" s="248">
        <v>1</v>
      </c>
      <c r="AC97" s="248"/>
      <c r="AD97" s="248"/>
      <c r="AE97" s="248">
        <v>1</v>
      </c>
      <c r="AF97" s="248"/>
      <c r="AG97" s="236">
        <f t="shared" si="4"/>
        <v>69</v>
      </c>
      <c r="AH97" s="237" t="str">
        <f t="shared" si="5"/>
        <v>عادی</v>
      </c>
    </row>
    <row r="98" spans="3:35" ht="23.25" thickBot="1" x14ac:dyDescent="0.3">
      <c r="C98" s="249" t="s">
        <v>466</v>
      </c>
      <c r="D98" s="247" t="s">
        <v>467</v>
      </c>
      <c r="E98" s="248"/>
      <c r="F98" s="248"/>
      <c r="G98" s="248">
        <v>1</v>
      </c>
      <c r="H98" s="248">
        <v>1</v>
      </c>
      <c r="I98" s="248"/>
      <c r="J98" s="248">
        <v>1</v>
      </c>
      <c r="K98" s="248"/>
      <c r="L98" s="248"/>
      <c r="M98" s="248"/>
      <c r="N98" s="248"/>
      <c r="O98" s="248">
        <v>1</v>
      </c>
      <c r="P98" s="248"/>
      <c r="Q98" s="248"/>
      <c r="R98" s="248"/>
      <c r="S98" s="248"/>
      <c r="T98" s="248"/>
      <c r="U98" s="248">
        <v>1</v>
      </c>
      <c r="V98" s="248">
        <v>1</v>
      </c>
      <c r="W98" s="248"/>
      <c r="X98" s="248"/>
      <c r="Y98" s="248"/>
      <c r="Z98" s="248"/>
      <c r="AA98" s="248"/>
      <c r="AB98" s="248">
        <v>1</v>
      </c>
      <c r="AC98" s="248"/>
      <c r="AD98" s="248"/>
      <c r="AE98" s="248">
        <v>1</v>
      </c>
      <c r="AF98" s="248"/>
      <c r="AG98" s="236">
        <f t="shared" ref="AG98:AG118" si="6">SUMPRODUCT(E98:AF98,$E$7:$AF$7,$E$6:$AF$6)</f>
        <v>69</v>
      </c>
      <c r="AH98" s="237" t="str">
        <f t="shared" ref="AH98:AH118" si="7">IF(AG98&gt;100,"کلیدی",IF(AG98&lt;80,"عادی","نیمه کلیدی"))</f>
        <v>عادی</v>
      </c>
    </row>
    <row r="99" spans="3:35" ht="23.25" thickBot="1" x14ac:dyDescent="0.3">
      <c r="C99" s="246" t="s">
        <v>468</v>
      </c>
      <c r="D99" s="247" t="s">
        <v>469</v>
      </c>
      <c r="E99" s="248"/>
      <c r="F99" s="248"/>
      <c r="G99" s="248">
        <v>1</v>
      </c>
      <c r="H99" s="248">
        <v>1</v>
      </c>
      <c r="I99" s="248"/>
      <c r="J99" s="248">
        <v>1</v>
      </c>
      <c r="K99" s="248"/>
      <c r="L99" s="248"/>
      <c r="M99" s="248"/>
      <c r="N99" s="248"/>
      <c r="O99" s="248">
        <v>1</v>
      </c>
      <c r="P99" s="248"/>
      <c r="Q99" s="248"/>
      <c r="R99" s="248"/>
      <c r="S99" s="248"/>
      <c r="T99" s="248"/>
      <c r="U99" s="248">
        <v>1</v>
      </c>
      <c r="V99" s="248">
        <v>1</v>
      </c>
      <c r="W99" s="248"/>
      <c r="X99" s="248"/>
      <c r="Y99" s="248"/>
      <c r="Z99" s="248"/>
      <c r="AA99" s="248"/>
      <c r="AB99" s="248">
        <v>1</v>
      </c>
      <c r="AC99" s="248"/>
      <c r="AD99" s="248"/>
      <c r="AE99" s="248">
        <v>1</v>
      </c>
      <c r="AF99" s="248"/>
      <c r="AG99" s="236">
        <f t="shared" si="6"/>
        <v>69</v>
      </c>
      <c r="AH99" s="237" t="str">
        <f t="shared" si="7"/>
        <v>عادی</v>
      </c>
    </row>
    <row r="100" spans="3:35" ht="23.25" thickBot="1" x14ac:dyDescent="0.3">
      <c r="C100" s="246" t="s">
        <v>470</v>
      </c>
      <c r="D100" s="247" t="s">
        <v>471</v>
      </c>
      <c r="E100" s="248"/>
      <c r="F100" s="248"/>
      <c r="G100" s="248">
        <v>1</v>
      </c>
      <c r="H100" s="248">
        <v>1</v>
      </c>
      <c r="I100" s="248"/>
      <c r="J100" s="248">
        <v>1</v>
      </c>
      <c r="K100" s="248"/>
      <c r="L100" s="248"/>
      <c r="M100" s="248"/>
      <c r="N100" s="248"/>
      <c r="O100" s="248">
        <v>1</v>
      </c>
      <c r="P100" s="248"/>
      <c r="Q100" s="248"/>
      <c r="R100" s="248"/>
      <c r="S100" s="248"/>
      <c r="T100" s="248"/>
      <c r="U100" s="248">
        <v>1</v>
      </c>
      <c r="V100" s="248">
        <v>1</v>
      </c>
      <c r="W100" s="248"/>
      <c r="X100" s="248"/>
      <c r="Y100" s="248"/>
      <c r="Z100" s="248"/>
      <c r="AA100" s="248"/>
      <c r="AB100" s="248">
        <v>1</v>
      </c>
      <c r="AC100" s="248"/>
      <c r="AD100" s="248"/>
      <c r="AE100" s="248">
        <v>1</v>
      </c>
      <c r="AF100" s="248"/>
      <c r="AG100" s="236">
        <f t="shared" si="6"/>
        <v>69</v>
      </c>
      <c r="AH100" s="237" t="str">
        <f t="shared" si="7"/>
        <v>عادی</v>
      </c>
    </row>
    <row r="101" spans="3:35" ht="23.25" thickBot="1" x14ac:dyDescent="0.3">
      <c r="C101" s="246" t="s">
        <v>472</v>
      </c>
      <c r="D101" s="247" t="s">
        <v>473</v>
      </c>
      <c r="E101" s="248"/>
      <c r="F101" s="248"/>
      <c r="G101" s="248">
        <v>1</v>
      </c>
      <c r="H101" s="248">
        <v>1</v>
      </c>
      <c r="I101" s="248"/>
      <c r="J101" s="248">
        <v>1</v>
      </c>
      <c r="K101" s="248"/>
      <c r="L101" s="248"/>
      <c r="M101" s="248"/>
      <c r="N101" s="248"/>
      <c r="O101" s="248">
        <v>1</v>
      </c>
      <c r="P101" s="248"/>
      <c r="Q101" s="248"/>
      <c r="R101" s="248"/>
      <c r="S101" s="248"/>
      <c r="T101" s="248"/>
      <c r="U101" s="248">
        <v>1</v>
      </c>
      <c r="V101" s="248">
        <v>1</v>
      </c>
      <c r="W101" s="248"/>
      <c r="X101" s="248"/>
      <c r="Y101" s="248"/>
      <c r="Z101" s="248"/>
      <c r="AA101" s="248"/>
      <c r="AB101" s="248">
        <v>1</v>
      </c>
      <c r="AC101" s="248"/>
      <c r="AD101" s="248"/>
      <c r="AE101" s="248">
        <v>1</v>
      </c>
      <c r="AF101" s="248"/>
      <c r="AG101" s="236">
        <f t="shared" si="6"/>
        <v>69</v>
      </c>
      <c r="AH101" s="237" t="str">
        <f t="shared" si="7"/>
        <v>عادی</v>
      </c>
    </row>
    <row r="102" spans="3:35" ht="23.25" thickBot="1" x14ac:dyDescent="0.3">
      <c r="C102" s="246" t="s">
        <v>474</v>
      </c>
      <c r="D102" s="247" t="s">
        <v>475</v>
      </c>
      <c r="E102" s="248"/>
      <c r="F102" s="248"/>
      <c r="G102" s="248">
        <v>1</v>
      </c>
      <c r="H102" s="248">
        <v>1</v>
      </c>
      <c r="I102" s="248"/>
      <c r="J102" s="248">
        <v>1</v>
      </c>
      <c r="K102" s="248"/>
      <c r="L102" s="248"/>
      <c r="M102" s="248"/>
      <c r="N102" s="248"/>
      <c r="O102" s="248">
        <v>1</v>
      </c>
      <c r="P102" s="248"/>
      <c r="Q102" s="248"/>
      <c r="R102" s="248"/>
      <c r="S102" s="248"/>
      <c r="T102" s="248"/>
      <c r="U102" s="248">
        <v>1</v>
      </c>
      <c r="V102" s="248">
        <v>1</v>
      </c>
      <c r="W102" s="248"/>
      <c r="X102" s="248"/>
      <c r="Y102" s="248"/>
      <c r="Z102" s="248"/>
      <c r="AA102" s="248"/>
      <c r="AB102" s="248">
        <v>1</v>
      </c>
      <c r="AC102" s="248"/>
      <c r="AD102" s="248"/>
      <c r="AE102" s="248">
        <v>1</v>
      </c>
      <c r="AF102" s="248"/>
      <c r="AG102" s="236">
        <f t="shared" si="6"/>
        <v>69</v>
      </c>
      <c r="AH102" s="237" t="str">
        <f t="shared" si="7"/>
        <v>عادی</v>
      </c>
    </row>
    <row r="103" spans="3:35" ht="23.25" thickBot="1" x14ac:dyDescent="0.3">
      <c r="C103" s="246" t="s">
        <v>476</v>
      </c>
      <c r="D103" s="247" t="s">
        <v>477</v>
      </c>
      <c r="E103" s="248"/>
      <c r="F103" s="248"/>
      <c r="G103" s="248">
        <v>1</v>
      </c>
      <c r="H103" s="248">
        <v>1</v>
      </c>
      <c r="I103" s="248"/>
      <c r="J103" s="248">
        <v>1</v>
      </c>
      <c r="K103" s="248"/>
      <c r="L103" s="248"/>
      <c r="M103" s="248"/>
      <c r="N103" s="248">
        <v>1</v>
      </c>
      <c r="O103" s="248"/>
      <c r="P103" s="248"/>
      <c r="Q103" s="248"/>
      <c r="R103" s="248"/>
      <c r="S103" s="248"/>
      <c r="T103" s="248"/>
      <c r="U103" s="248">
        <v>1</v>
      </c>
      <c r="V103" s="248">
        <v>1</v>
      </c>
      <c r="W103" s="248"/>
      <c r="X103" s="248"/>
      <c r="Y103" s="248"/>
      <c r="Z103" s="248"/>
      <c r="AA103" s="248">
        <v>1</v>
      </c>
      <c r="AB103" s="248"/>
      <c r="AC103" s="248"/>
      <c r="AD103" s="248">
        <v>1</v>
      </c>
      <c r="AE103" s="248"/>
      <c r="AF103" s="248"/>
      <c r="AG103" s="236">
        <f t="shared" si="6"/>
        <v>100</v>
      </c>
      <c r="AH103" s="237" t="str">
        <f t="shared" si="7"/>
        <v>نیمه کلیدی</v>
      </c>
    </row>
    <row r="104" spans="3:35" ht="23.25" thickBot="1" x14ac:dyDescent="0.3">
      <c r="C104" s="246" t="s">
        <v>478</v>
      </c>
      <c r="D104" s="233" t="s">
        <v>479</v>
      </c>
      <c r="E104" s="248"/>
      <c r="F104" s="248"/>
      <c r="G104" s="248">
        <v>1</v>
      </c>
      <c r="H104" s="248">
        <v>1</v>
      </c>
      <c r="I104" s="248"/>
      <c r="J104" s="248">
        <v>1</v>
      </c>
      <c r="K104" s="248"/>
      <c r="L104" s="248"/>
      <c r="M104" s="248"/>
      <c r="N104" s="248">
        <v>1</v>
      </c>
      <c r="O104" s="248"/>
      <c r="P104" s="248"/>
      <c r="Q104" s="248"/>
      <c r="R104" s="248"/>
      <c r="S104" s="248"/>
      <c r="T104" s="248"/>
      <c r="U104" s="248">
        <v>1</v>
      </c>
      <c r="V104" s="248">
        <v>1</v>
      </c>
      <c r="W104" s="248"/>
      <c r="X104" s="248"/>
      <c r="Y104" s="248"/>
      <c r="Z104" s="248"/>
      <c r="AA104" s="248">
        <v>1</v>
      </c>
      <c r="AB104" s="248"/>
      <c r="AC104" s="248"/>
      <c r="AD104" s="248"/>
      <c r="AE104" s="248">
        <v>1</v>
      </c>
      <c r="AF104" s="248"/>
      <c r="AG104" s="236">
        <f t="shared" si="6"/>
        <v>98</v>
      </c>
      <c r="AH104" s="237" t="str">
        <f t="shared" si="7"/>
        <v>نیمه کلیدی</v>
      </c>
    </row>
    <row r="105" spans="3:35" ht="23.25" thickBot="1" x14ac:dyDescent="0.3">
      <c r="C105" s="246" t="s">
        <v>480</v>
      </c>
      <c r="D105" s="247" t="s">
        <v>481</v>
      </c>
      <c r="E105" s="248"/>
      <c r="F105" s="248"/>
      <c r="G105" s="248">
        <v>1</v>
      </c>
      <c r="H105" s="248">
        <v>1</v>
      </c>
      <c r="I105" s="248"/>
      <c r="J105" s="248">
        <v>1</v>
      </c>
      <c r="K105" s="248"/>
      <c r="L105" s="248"/>
      <c r="M105" s="248"/>
      <c r="N105" s="248"/>
      <c r="O105" s="248">
        <v>1</v>
      </c>
      <c r="P105" s="248"/>
      <c r="Q105" s="248"/>
      <c r="R105" s="248"/>
      <c r="S105" s="248"/>
      <c r="T105" s="248"/>
      <c r="U105" s="248">
        <v>1</v>
      </c>
      <c r="V105" s="248">
        <v>1</v>
      </c>
      <c r="W105" s="248"/>
      <c r="X105" s="248"/>
      <c r="Y105" s="248"/>
      <c r="Z105" s="248"/>
      <c r="AA105" s="248"/>
      <c r="AB105" s="248">
        <v>1</v>
      </c>
      <c r="AC105" s="248"/>
      <c r="AD105" s="248"/>
      <c r="AE105" s="248">
        <v>1</v>
      </c>
      <c r="AF105" s="248"/>
      <c r="AG105" s="236">
        <f t="shared" si="6"/>
        <v>69</v>
      </c>
      <c r="AH105" s="237" t="str">
        <f t="shared" si="7"/>
        <v>عادی</v>
      </c>
    </row>
    <row r="106" spans="3:35" ht="23.25" thickBot="1" x14ac:dyDescent="0.3">
      <c r="C106" s="246" t="s">
        <v>482</v>
      </c>
      <c r="D106" s="247" t="s">
        <v>483</v>
      </c>
      <c r="E106" s="248"/>
      <c r="F106" s="248"/>
      <c r="G106" s="248">
        <v>1</v>
      </c>
      <c r="H106" s="248">
        <v>1</v>
      </c>
      <c r="I106" s="248"/>
      <c r="J106" s="248">
        <v>1</v>
      </c>
      <c r="K106" s="248"/>
      <c r="L106" s="248"/>
      <c r="M106" s="248"/>
      <c r="N106" s="248">
        <v>1</v>
      </c>
      <c r="O106" s="248"/>
      <c r="P106" s="248"/>
      <c r="Q106" s="248"/>
      <c r="R106" s="248"/>
      <c r="S106" s="248"/>
      <c r="T106" s="248"/>
      <c r="U106" s="248">
        <v>1</v>
      </c>
      <c r="V106" s="248">
        <v>1</v>
      </c>
      <c r="W106" s="248"/>
      <c r="X106" s="248"/>
      <c r="Y106" s="248"/>
      <c r="Z106" s="248"/>
      <c r="AA106" s="248">
        <v>1</v>
      </c>
      <c r="AB106" s="248"/>
      <c r="AC106" s="248"/>
      <c r="AD106" s="248">
        <v>1</v>
      </c>
      <c r="AE106" s="248"/>
      <c r="AF106" s="248"/>
      <c r="AG106" s="236">
        <f t="shared" si="6"/>
        <v>100</v>
      </c>
      <c r="AH106" s="237" t="str">
        <f t="shared" si="7"/>
        <v>نیمه کلیدی</v>
      </c>
    </row>
    <row r="107" spans="3:35" ht="23.25" thickBot="1" x14ac:dyDescent="0.3">
      <c r="C107" s="246" t="s">
        <v>484</v>
      </c>
      <c r="D107" s="247" t="s">
        <v>485</v>
      </c>
      <c r="E107" s="248"/>
      <c r="F107" s="248"/>
      <c r="G107" s="248">
        <v>1</v>
      </c>
      <c r="H107" s="248">
        <v>1</v>
      </c>
      <c r="I107" s="248"/>
      <c r="J107" s="248">
        <v>1</v>
      </c>
      <c r="K107" s="248"/>
      <c r="L107" s="248"/>
      <c r="M107" s="248"/>
      <c r="N107" s="248"/>
      <c r="O107" s="248">
        <v>1</v>
      </c>
      <c r="P107" s="248"/>
      <c r="Q107" s="248"/>
      <c r="R107" s="248"/>
      <c r="S107" s="248"/>
      <c r="T107" s="248"/>
      <c r="U107" s="248">
        <v>1</v>
      </c>
      <c r="V107" s="248">
        <v>1</v>
      </c>
      <c r="W107" s="248"/>
      <c r="X107" s="248"/>
      <c r="Y107" s="248"/>
      <c r="Z107" s="248"/>
      <c r="AA107" s="248"/>
      <c r="AB107" s="248">
        <v>1</v>
      </c>
      <c r="AC107" s="248"/>
      <c r="AD107" s="248"/>
      <c r="AE107" s="248">
        <v>1</v>
      </c>
      <c r="AF107" s="248"/>
      <c r="AG107" s="236">
        <f t="shared" si="6"/>
        <v>69</v>
      </c>
      <c r="AH107" s="237" t="str">
        <f t="shared" si="7"/>
        <v>عادی</v>
      </c>
    </row>
    <row r="108" spans="3:35" ht="23.25" thickBot="1" x14ac:dyDescent="0.3">
      <c r="C108" s="246" t="s">
        <v>486</v>
      </c>
      <c r="D108" s="233" t="s">
        <v>487</v>
      </c>
      <c r="E108" s="248"/>
      <c r="F108" s="248"/>
      <c r="G108" s="248">
        <v>1</v>
      </c>
      <c r="H108" s="248"/>
      <c r="I108" s="248">
        <v>1</v>
      </c>
      <c r="J108" s="248">
        <v>1</v>
      </c>
      <c r="K108" s="248"/>
      <c r="L108" s="248"/>
      <c r="M108" s="248"/>
      <c r="N108" s="248"/>
      <c r="O108" s="248"/>
      <c r="P108" s="248">
        <v>1</v>
      </c>
      <c r="Q108" s="248"/>
      <c r="R108" s="248"/>
      <c r="S108" s="248"/>
      <c r="T108" s="248"/>
      <c r="U108" s="248">
        <v>1</v>
      </c>
      <c r="V108" s="248">
        <v>1</v>
      </c>
      <c r="W108" s="248"/>
      <c r="X108" s="248"/>
      <c r="Y108" s="248"/>
      <c r="Z108" s="248"/>
      <c r="AA108" s="248"/>
      <c r="AB108" s="248"/>
      <c r="AC108" s="248">
        <v>1</v>
      </c>
      <c r="AD108" s="248">
        <v>1</v>
      </c>
      <c r="AE108" s="248"/>
      <c r="AF108" s="248"/>
      <c r="AG108" s="236">
        <f t="shared" si="6"/>
        <v>40</v>
      </c>
      <c r="AH108" s="237" t="str">
        <f t="shared" si="7"/>
        <v>عادی</v>
      </c>
    </row>
    <row r="109" spans="3:35" ht="23.25" thickBot="1" x14ac:dyDescent="0.3">
      <c r="C109" s="246" t="s">
        <v>488</v>
      </c>
      <c r="D109" s="247" t="s">
        <v>489</v>
      </c>
      <c r="E109" s="248"/>
      <c r="F109" s="248">
        <v>1</v>
      </c>
      <c r="G109" s="248"/>
      <c r="H109" s="248"/>
      <c r="I109" s="248">
        <v>1</v>
      </c>
      <c r="J109" s="248">
        <v>1</v>
      </c>
      <c r="K109" s="248"/>
      <c r="L109" s="248"/>
      <c r="M109" s="248"/>
      <c r="N109" s="248"/>
      <c r="O109" s="248">
        <v>1</v>
      </c>
      <c r="P109" s="248"/>
      <c r="Q109" s="248"/>
      <c r="R109" s="248"/>
      <c r="S109" s="248"/>
      <c r="T109" s="248"/>
      <c r="U109" s="248">
        <v>1</v>
      </c>
      <c r="V109" s="248">
        <v>1</v>
      </c>
      <c r="W109" s="248"/>
      <c r="X109" s="248"/>
      <c r="Y109" s="248"/>
      <c r="Z109" s="248"/>
      <c r="AA109" s="248"/>
      <c r="AB109" s="248"/>
      <c r="AC109" s="248">
        <v>1</v>
      </c>
      <c r="AD109" s="248"/>
      <c r="AE109" s="248">
        <v>1</v>
      </c>
      <c r="AF109" s="248"/>
      <c r="AG109" s="236">
        <f t="shared" si="6"/>
        <v>53</v>
      </c>
      <c r="AH109" s="237" t="str">
        <f t="shared" si="7"/>
        <v>عادی</v>
      </c>
    </row>
    <row r="110" spans="3:35" ht="23.25" thickBot="1" x14ac:dyDescent="0.3">
      <c r="C110" s="246" t="s">
        <v>490</v>
      </c>
      <c r="D110" s="233" t="s">
        <v>491</v>
      </c>
      <c r="E110" s="248"/>
      <c r="F110" s="248"/>
      <c r="G110" s="248">
        <v>1</v>
      </c>
      <c r="H110" s="248"/>
      <c r="I110" s="248">
        <v>1</v>
      </c>
      <c r="J110" s="248">
        <v>1</v>
      </c>
      <c r="K110" s="248"/>
      <c r="L110" s="248"/>
      <c r="M110" s="248"/>
      <c r="N110" s="248"/>
      <c r="O110" s="248"/>
      <c r="P110" s="248">
        <v>1</v>
      </c>
      <c r="Q110" s="248"/>
      <c r="R110" s="248"/>
      <c r="S110" s="248"/>
      <c r="T110" s="248"/>
      <c r="U110" s="248">
        <v>1</v>
      </c>
      <c r="V110" s="248">
        <v>1</v>
      </c>
      <c r="W110" s="248"/>
      <c r="X110" s="248"/>
      <c r="Y110" s="248"/>
      <c r="Z110" s="248"/>
      <c r="AA110" s="248"/>
      <c r="AB110" s="248"/>
      <c r="AC110" s="248">
        <v>1</v>
      </c>
      <c r="AD110" s="248">
        <v>1</v>
      </c>
      <c r="AE110" s="248"/>
      <c r="AF110" s="248"/>
      <c r="AG110" s="236">
        <f t="shared" si="6"/>
        <v>40</v>
      </c>
      <c r="AH110" s="237" t="str">
        <f t="shared" si="7"/>
        <v>عادی</v>
      </c>
    </row>
    <row r="111" spans="3:35" ht="23.25" thickBot="1" x14ac:dyDescent="0.3">
      <c r="C111" s="250" t="s">
        <v>492</v>
      </c>
      <c r="D111" s="239" t="s">
        <v>513</v>
      </c>
      <c r="E111" s="248">
        <v>1</v>
      </c>
      <c r="F111" s="248"/>
      <c r="G111" s="248"/>
      <c r="H111" s="248"/>
      <c r="I111" s="248">
        <v>1</v>
      </c>
      <c r="J111" s="248">
        <v>1</v>
      </c>
      <c r="K111" s="248"/>
      <c r="L111" s="248"/>
      <c r="M111" s="248"/>
      <c r="N111" s="248">
        <v>1</v>
      </c>
      <c r="O111" s="248"/>
      <c r="P111" s="248"/>
      <c r="Q111" s="248"/>
      <c r="R111" s="248"/>
      <c r="S111" s="248"/>
      <c r="T111" s="248"/>
      <c r="U111" s="248">
        <v>1</v>
      </c>
      <c r="V111" s="248"/>
      <c r="W111" s="248">
        <v>1</v>
      </c>
      <c r="X111" s="248"/>
      <c r="Y111" s="248"/>
      <c r="Z111" s="248"/>
      <c r="AA111" s="248">
        <v>1</v>
      </c>
      <c r="AB111" s="248"/>
      <c r="AC111" s="248"/>
      <c r="AD111" s="248">
        <v>1</v>
      </c>
      <c r="AE111" s="248"/>
      <c r="AF111" s="248"/>
      <c r="AG111" s="236">
        <f t="shared" si="6"/>
        <v>125</v>
      </c>
      <c r="AH111" s="237" t="str">
        <f t="shared" si="7"/>
        <v>کلیدی</v>
      </c>
      <c r="AI111" t="s">
        <v>512</v>
      </c>
    </row>
    <row r="112" spans="3:35" ht="23.25" thickBot="1" x14ac:dyDescent="0.3">
      <c r="C112" s="246" t="s">
        <v>493</v>
      </c>
      <c r="D112" s="247" t="s">
        <v>494</v>
      </c>
      <c r="E112" s="234"/>
      <c r="F112" s="234"/>
      <c r="G112" s="234">
        <v>1</v>
      </c>
      <c r="H112" s="234">
        <v>1</v>
      </c>
      <c r="I112" s="234"/>
      <c r="J112" s="234">
        <v>1</v>
      </c>
      <c r="K112" s="234"/>
      <c r="L112" s="234"/>
      <c r="M112" s="234"/>
      <c r="N112" s="235"/>
      <c r="O112" s="234"/>
      <c r="P112" s="234">
        <v>1</v>
      </c>
      <c r="Q112" s="234"/>
      <c r="R112" s="234"/>
      <c r="S112" s="234"/>
      <c r="T112" s="234"/>
      <c r="U112" s="234">
        <v>1</v>
      </c>
      <c r="V112" s="234"/>
      <c r="W112" s="234">
        <v>1</v>
      </c>
      <c r="X112" s="234"/>
      <c r="Y112" s="234"/>
      <c r="Z112" s="234"/>
      <c r="AA112" s="234"/>
      <c r="AB112" s="234"/>
      <c r="AC112" s="234">
        <v>1</v>
      </c>
      <c r="AD112" s="234"/>
      <c r="AE112" s="234"/>
      <c r="AF112" s="234">
        <v>1</v>
      </c>
      <c r="AG112" s="236">
        <f t="shared" si="6"/>
        <v>50</v>
      </c>
      <c r="AH112" s="237" t="str">
        <f t="shared" si="7"/>
        <v>عادی</v>
      </c>
    </row>
    <row r="113" spans="3:35" ht="23.25" thickBot="1" x14ac:dyDescent="0.3">
      <c r="C113" s="246" t="s">
        <v>495</v>
      </c>
      <c r="D113" s="233" t="s">
        <v>496</v>
      </c>
      <c r="E113" s="234"/>
      <c r="F113" s="234"/>
      <c r="G113" s="234">
        <v>1</v>
      </c>
      <c r="H113" s="234"/>
      <c r="I113" s="234">
        <v>1</v>
      </c>
      <c r="J113" s="234">
        <v>1</v>
      </c>
      <c r="K113" s="234"/>
      <c r="L113" s="234"/>
      <c r="M113" s="234"/>
      <c r="N113" s="235"/>
      <c r="O113" s="234">
        <v>1</v>
      </c>
      <c r="P113" s="234"/>
      <c r="Q113" s="234"/>
      <c r="R113" s="234"/>
      <c r="S113" s="234"/>
      <c r="T113" s="234"/>
      <c r="U113" s="234">
        <v>1</v>
      </c>
      <c r="V113" s="243">
        <v>1</v>
      </c>
      <c r="W113" s="243"/>
      <c r="X113" s="243"/>
      <c r="Y113" s="243"/>
      <c r="Z113" s="243"/>
      <c r="AA113" s="243"/>
      <c r="AB113" s="243"/>
      <c r="AC113" s="243">
        <v>1</v>
      </c>
      <c r="AD113" s="243"/>
      <c r="AE113" s="243">
        <v>1</v>
      </c>
      <c r="AF113" s="243"/>
      <c r="AG113" s="236">
        <f t="shared" si="6"/>
        <v>44</v>
      </c>
      <c r="AH113" s="237" t="str">
        <f t="shared" si="7"/>
        <v>عادی</v>
      </c>
    </row>
    <row r="114" spans="3:35" ht="23.25" thickBot="1" x14ac:dyDescent="0.3">
      <c r="C114" s="246" t="s">
        <v>497</v>
      </c>
      <c r="D114" s="247" t="s">
        <v>498</v>
      </c>
      <c r="E114" s="248"/>
      <c r="F114" s="248"/>
      <c r="G114" s="248">
        <v>1</v>
      </c>
      <c r="H114" s="248">
        <v>1</v>
      </c>
      <c r="I114" s="248"/>
      <c r="J114" s="248">
        <v>1</v>
      </c>
      <c r="K114" s="248"/>
      <c r="L114" s="248"/>
      <c r="M114" s="248"/>
      <c r="N114" s="248">
        <v>1</v>
      </c>
      <c r="O114" s="248"/>
      <c r="P114" s="248"/>
      <c r="Q114" s="248"/>
      <c r="R114" s="248"/>
      <c r="S114" s="248"/>
      <c r="T114" s="248"/>
      <c r="U114" s="248">
        <v>1</v>
      </c>
      <c r="V114" s="248">
        <v>1</v>
      </c>
      <c r="W114" s="248"/>
      <c r="X114" s="248"/>
      <c r="Y114" s="248"/>
      <c r="Z114" s="248"/>
      <c r="AA114" s="248">
        <v>1</v>
      </c>
      <c r="AB114" s="248"/>
      <c r="AC114" s="248"/>
      <c r="AD114" s="248">
        <v>1</v>
      </c>
      <c r="AE114" s="248"/>
      <c r="AF114" s="248"/>
      <c r="AG114" s="236">
        <f t="shared" si="6"/>
        <v>100</v>
      </c>
      <c r="AH114" s="237" t="str">
        <f t="shared" si="7"/>
        <v>نیمه کلیدی</v>
      </c>
    </row>
    <row r="115" spans="3:35" ht="23.25" thickBot="1" x14ac:dyDescent="0.3">
      <c r="C115" s="246" t="s">
        <v>499</v>
      </c>
      <c r="D115" s="247" t="s">
        <v>500</v>
      </c>
      <c r="E115" s="234"/>
      <c r="F115" s="234">
        <v>1</v>
      </c>
      <c r="G115" s="234"/>
      <c r="H115" s="234"/>
      <c r="I115" s="234">
        <v>1</v>
      </c>
      <c r="J115" s="234">
        <v>1</v>
      </c>
      <c r="K115" s="234"/>
      <c r="L115" s="234"/>
      <c r="M115" s="234"/>
      <c r="N115" s="235"/>
      <c r="O115" s="234">
        <v>1</v>
      </c>
      <c r="P115" s="234"/>
      <c r="Q115" s="234"/>
      <c r="R115" s="234"/>
      <c r="S115" s="234"/>
      <c r="T115" s="234"/>
      <c r="U115" s="234">
        <v>1</v>
      </c>
      <c r="V115" s="234">
        <v>1</v>
      </c>
      <c r="W115" s="234"/>
      <c r="X115" s="234"/>
      <c r="Y115" s="234"/>
      <c r="Z115" s="234"/>
      <c r="AA115" s="234"/>
      <c r="AB115" s="234"/>
      <c r="AC115" s="234">
        <v>1</v>
      </c>
      <c r="AD115" s="234">
        <v>1</v>
      </c>
      <c r="AE115" s="234"/>
      <c r="AF115" s="234"/>
      <c r="AG115" s="236">
        <f t="shared" si="6"/>
        <v>55</v>
      </c>
      <c r="AH115" s="237" t="str">
        <f t="shared" si="7"/>
        <v>عادی</v>
      </c>
    </row>
    <row r="116" spans="3:35" ht="23.25" thickBot="1" x14ac:dyDescent="0.3">
      <c r="C116" s="246" t="s">
        <v>501</v>
      </c>
      <c r="D116" s="247" t="s">
        <v>502</v>
      </c>
      <c r="E116" s="248">
        <v>1</v>
      </c>
      <c r="F116" s="248"/>
      <c r="G116" s="248"/>
      <c r="H116" s="248"/>
      <c r="I116" s="248">
        <v>1</v>
      </c>
      <c r="J116" s="248">
        <v>1</v>
      </c>
      <c r="K116" s="248"/>
      <c r="L116" s="248"/>
      <c r="M116" s="248"/>
      <c r="N116" s="248"/>
      <c r="O116" s="248">
        <v>1</v>
      </c>
      <c r="P116" s="248"/>
      <c r="Q116" s="248"/>
      <c r="R116" s="248"/>
      <c r="S116" s="248"/>
      <c r="T116" s="248"/>
      <c r="U116" s="248">
        <v>1</v>
      </c>
      <c r="V116" s="248">
        <v>1</v>
      </c>
      <c r="W116" s="248"/>
      <c r="X116" s="248"/>
      <c r="Y116" s="248"/>
      <c r="Z116" s="248"/>
      <c r="AA116" s="248"/>
      <c r="AB116" s="248"/>
      <c r="AC116" s="248">
        <v>1</v>
      </c>
      <c r="AD116" s="248"/>
      <c r="AE116" s="248"/>
      <c r="AF116" s="248">
        <v>1</v>
      </c>
      <c r="AG116" s="236">
        <f t="shared" si="6"/>
        <v>71</v>
      </c>
      <c r="AH116" s="237" t="str">
        <f t="shared" si="7"/>
        <v>عادی</v>
      </c>
    </row>
    <row r="117" spans="3:35" ht="23.25" thickBot="1" x14ac:dyDescent="0.3">
      <c r="C117" s="246" t="s">
        <v>503</v>
      </c>
      <c r="D117" s="239" t="s">
        <v>504</v>
      </c>
      <c r="E117" s="234"/>
      <c r="F117" s="234"/>
      <c r="G117" s="234">
        <v>1</v>
      </c>
      <c r="H117" s="234">
        <v>1</v>
      </c>
      <c r="I117" s="234"/>
      <c r="J117" s="234">
        <v>1</v>
      </c>
      <c r="K117" s="234"/>
      <c r="L117" s="234"/>
      <c r="M117" s="234"/>
      <c r="N117" s="235"/>
      <c r="O117" s="234">
        <v>1</v>
      </c>
      <c r="P117" s="234"/>
      <c r="Q117" s="234"/>
      <c r="R117" s="234"/>
      <c r="S117" s="234"/>
      <c r="T117" s="234"/>
      <c r="U117" s="234">
        <v>1</v>
      </c>
      <c r="V117" s="234">
        <v>1</v>
      </c>
      <c r="W117" s="234"/>
      <c r="X117" s="234"/>
      <c r="Y117" s="234"/>
      <c r="Z117" s="234"/>
      <c r="AA117" s="234"/>
      <c r="AB117" s="234"/>
      <c r="AC117" s="234">
        <v>1</v>
      </c>
      <c r="AD117" s="234">
        <v>1</v>
      </c>
      <c r="AE117" s="234"/>
      <c r="AF117" s="234"/>
      <c r="AG117" s="236">
        <f t="shared" si="6"/>
        <v>56</v>
      </c>
      <c r="AH117" s="237" t="str">
        <f t="shared" si="7"/>
        <v>عادی</v>
      </c>
    </row>
    <row r="118" spans="3:35" ht="23.25" thickBot="1" x14ac:dyDescent="0.3">
      <c r="C118" s="246" t="s">
        <v>505</v>
      </c>
      <c r="D118" s="239" t="s">
        <v>506</v>
      </c>
      <c r="E118" s="234"/>
      <c r="F118" s="234"/>
      <c r="G118" s="234">
        <v>1</v>
      </c>
      <c r="H118" s="234"/>
      <c r="I118" s="234">
        <v>1</v>
      </c>
      <c r="J118" s="234">
        <v>1</v>
      </c>
      <c r="K118" s="234"/>
      <c r="L118" s="234"/>
      <c r="M118" s="234"/>
      <c r="N118" s="235"/>
      <c r="O118" s="234">
        <v>1</v>
      </c>
      <c r="P118" s="234"/>
      <c r="Q118" s="234"/>
      <c r="R118" s="234"/>
      <c r="S118" s="234"/>
      <c r="T118" s="234"/>
      <c r="U118" s="234">
        <v>1</v>
      </c>
      <c r="V118" s="234">
        <v>1</v>
      </c>
      <c r="W118" s="234"/>
      <c r="X118" s="234"/>
      <c r="Y118" s="234"/>
      <c r="Z118" s="234">
        <v>1</v>
      </c>
      <c r="AA118" s="234"/>
      <c r="AB118" s="234"/>
      <c r="AC118" s="234">
        <v>1</v>
      </c>
      <c r="AD118" s="234"/>
      <c r="AE118" s="234"/>
      <c r="AF118" s="234">
        <v>1</v>
      </c>
      <c r="AG118" s="236">
        <f t="shared" si="6"/>
        <v>41</v>
      </c>
      <c r="AH118" s="237" t="str">
        <f t="shared" si="7"/>
        <v>عادی</v>
      </c>
    </row>
    <row r="119" spans="3:35" ht="23.25" thickBot="1" x14ac:dyDescent="0.3">
      <c r="C119" s="246" t="s">
        <v>507</v>
      </c>
      <c r="D119" s="233" t="s">
        <v>508</v>
      </c>
      <c r="E119" s="234"/>
      <c r="F119" s="234">
        <v>1</v>
      </c>
      <c r="G119" s="234"/>
      <c r="H119" s="234">
        <v>1</v>
      </c>
      <c r="I119" s="234"/>
      <c r="J119" s="234"/>
      <c r="K119" s="234">
        <v>1</v>
      </c>
      <c r="L119" s="234"/>
      <c r="M119" s="234"/>
      <c r="N119" s="235">
        <v>1</v>
      </c>
      <c r="O119" s="234"/>
      <c r="P119" s="234"/>
      <c r="Q119" s="234"/>
      <c r="R119" s="234"/>
      <c r="S119" s="234"/>
      <c r="T119" s="234"/>
      <c r="U119" s="234">
        <v>1</v>
      </c>
      <c r="V119" s="243"/>
      <c r="W119" s="243">
        <v>1</v>
      </c>
      <c r="X119" s="243"/>
      <c r="Y119" s="243"/>
      <c r="Z119" s="243"/>
      <c r="AA119" s="243"/>
      <c r="AB119" s="243">
        <v>1</v>
      </c>
      <c r="AC119" s="243"/>
      <c r="AD119" s="243"/>
      <c r="AE119" s="243">
        <v>1</v>
      </c>
      <c r="AF119" s="243"/>
      <c r="AG119" s="236">
        <f t="shared" ref="AG119:AG121" si="8">SUMPRODUCT(E119:AF119,$E$7:$AF$7,$E$6:$AF$6)</f>
        <v>67</v>
      </c>
      <c r="AH119" s="237" t="str">
        <f t="shared" ref="AH119" si="9">IF(AG119&gt;100,"کلیدی",IF(AG119&lt;80,"عادی","نیمه کلیدی"))</f>
        <v>عادی</v>
      </c>
    </row>
    <row r="120" spans="3:35" ht="23.25" thickBot="1" x14ac:dyDescent="0.3">
      <c r="C120" s="246" t="s">
        <v>518</v>
      </c>
      <c r="D120" s="247" t="s">
        <v>520</v>
      </c>
      <c r="E120" s="234"/>
      <c r="F120" s="234">
        <v>1</v>
      </c>
      <c r="G120" s="234"/>
      <c r="H120" s="234">
        <v>1</v>
      </c>
      <c r="I120" s="234"/>
      <c r="J120" s="234">
        <v>1</v>
      </c>
      <c r="K120" s="234"/>
      <c r="L120" s="234"/>
      <c r="M120" s="234">
        <v>1</v>
      </c>
      <c r="N120" s="235"/>
      <c r="O120" s="234"/>
      <c r="P120" s="234">
        <v>1</v>
      </c>
      <c r="Q120" s="234"/>
      <c r="R120" s="234"/>
      <c r="S120" s="234">
        <v>1</v>
      </c>
      <c r="T120" s="234"/>
      <c r="U120" s="234">
        <v>1</v>
      </c>
      <c r="V120" s="234"/>
      <c r="W120" s="234">
        <v>1</v>
      </c>
      <c r="X120" s="234"/>
      <c r="Y120" s="234"/>
      <c r="Z120" s="234">
        <v>1</v>
      </c>
      <c r="AA120" s="234">
        <v>1</v>
      </c>
      <c r="AB120" s="234"/>
      <c r="AC120" s="234"/>
      <c r="AD120" s="234">
        <v>1</v>
      </c>
      <c r="AE120" s="234"/>
      <c r="AF120" s="234"/>
      <c r="AG120" s="236">
        <f t="shared" si="8"/>
        <v>97</v>
      </c>
      <c r="AH120" s="237" t="str">
        <f t="shared" ref="AH120:AH121" si="10">IF(AG120&gt;100,"کلیدی",IF(AG120&lt;80,"عادی","نیمه کلیدی"))</f>
        <v>نیمه کلیدی</v>
      </c>
    </row>
    <row r="121" spans="3:35" ht="23.25" thickBot="1" x14ac:dyDescent="0.3">
      <c r="C121" s="251" t="s">
        <v>519</v>
      </c>
      <c r="D121" s="252" t="s">
        <v>521</v>
      </c>
      <c r="E121" s="234">
        <v>1</v>
      </c>
      <c r="F121" s="234"/>
      <c r="G121" s="234"/>
      <c r="H121" s="234">
        <v>1</v>
      </c>
      <c r="I121" s="234"/>
      <c r="J121" s="234">
        <v>1</v>
      </c>
      <c r="K121" s="234"/>
      <c r="L121" s="234"/>
      <c r="M121" s="234">
        <v>1</v>
      </c>
      <c r="N121" s="235"/>
      <c r="O121" s="234"/>
      <c r="P121" s="234">
        <v>1</v>
      </c>
      <c r="Q121" s="234"/>
      <c r="R121" s="234"/>
      <c r="S121" s="234">
        <v>1</v>
      </c>
      <c r="T121" s="234"/>
      <c r="U121" s="234">
        <v>1</v>
      </c>
      <c r="V121" s="234"/>
      <c r="W121" s="234">
        <v>1</v>
      </c>
      <c r="X121" s="234"/>
      <c r="Y121" s="234"/>
      <c r="Z121" s="234">
        <v>1</v>
      </c>
      <c r="AA121" s="234">
        <v>1</v>
      </c>
      <c r="AB121" s="234"/>
      <c r="AC121" s="234"/>
      <c r="AD121" s="234">
        <v>1</v>
      </c>
      <c r="AE121" s="234"/>
      <c r="AF121" s="234"/>
      <c r="AG121" s="236">
        <f t="shared" si="8"/>
        <v>118</v>
      </c>
      <c r="AH121" s="237" t="str">
        <f t="shared" si="10"/>
        <v>کلیدی</v>
      </c>
      <c r="AI121" t="s">
        <v>512</v>
      </c>
    </row>
  </sheetData>
  <autoFilter ref="B5:AH90">
    <filterColumn colId="3" showButton="0"/>
    <filterColumn colId="4" showButton="0"/>
    <filterColumn colId="6" showButton="0"/>
    <filterColumn colId="8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8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</autoFilter>
  <mergeCells count="22">
    <mergeCell ref="AI13:AJ13"/>
    <mergeCell ref="N5:P5"/>
    <mergeCell ref="Q5:S5"/>
    <mergeCell ref="T5:U5"/>
    <mergeCell ref="V5:W5"/>
    <mergeCell ref="X5:Z5"/>
    <mergeCell ref="AA5:AC5"/>
    <mergeCell ref="AF2:AH2"/>
    <mergeCell ref="AF3:AH3"/>
    <mergeCell ref="B5:B8"/>
    <mergeCell ref="C5:C8"/>
    <mergeCell ref="D5:D8"/>
    <mergeCell ref="E5:G5"/>
    <mergeCell ref="H5:I5"/>
    <mergeCell ref="J5:K5"/>
    <mergeCell ref="L5:M5"/>
    <mergeCell ref="AD5:AF5"/>
    <mergeCell ref="AG5:AG8"/>
    <mergeCell ref="AH5:AH8"/>
    <mergeCell ref="E2:AE4"/>
    <mergeCell ref="C2:D4"/>
    <mergeCell ref="AF4:AH4"/>
  </mergeCells>
  <conditionalFormatting sqref="AA9:AF78">
    <cfRule type="cellIs" dxfId="42" priority="35" operator="equal">
      <formula>"نیمه کلیدی"</formula>
    </cfRule>
  </conditionalFormatting>
  <conditionalFormatting sqref="E9:K78">
    <cfRule type="cellIs" dxfId="41" priority="39" operator="equal">
      <formula>"نیمه کلیدی"</formula>
    </cfRule>
  </conditionalFormatting>
  <conditionalFormatting sqref="E8:K8">
    <cfRule type="cellIs" dxfId="40" priority="38" operator="equal">
      <formula>"نیمه کلیدی"</formula>
    </cfRule>
  </conditionalFormatting>
  <conditionalFormatting sqref="N9:U78">
    <cfRule type="cellIs" dxfId="39" priority="37" operator="equal">
      <formula>"نیمه کلیدی"</formula>
    </cfRule>
  </conditionalFormatting>
  <conditionalFormatting sqref="V9:Z78">
    <cfRule type="cellIs" dxfId="38" priority="36" operator="equal">
      <formula>"نیمه کلیدی"</formula>
    </cfRule>
  </conditionalFormatting>
  <conditionalFormatting sqref="AA80:AF80">
    <cfRule type="cellIs" dxfId="37" priority="31" operator="equal">
      <formula>"نیمه کلیدی"</formula>
    </cfRule>
  </conditionalFormatting>
  <conditionalFormatting sqref="I80:K80">
    <cfRule type="cellIs" dxfId="36" priority="34" operator="equal">
      <formula>"نیمه کلیدی"</formula>
    </cfRule>
  </conditionalFormatting>
  <conditionalFormatting sqref="N80:U80">
    <cfRule type="cellIs" dxfId="35" priority="33" operator="equal">
      <formula>"نیمه کلیدی"</formula>
    </cfRule>
  </conditionalFormatting>
  <conditionalFormatting sqref="V80:Z80">
    <cfRule type="cellIs" dxfId="34" priority="32" operator="equal">
      <formula>"نیمه کلیدی"</formula>
    </cfRule>
  </conditionalFormatting>
  <conditionalFormatting sqref="AA81:AF81">
    <cfRule type="cellIs" dxfId="33" priority="27" operator="equal">
      <formula>"نیمه کلیدی"</formula>
    </cfRule>
  </conditionalFormatting>
  <conditionalFormatting sqref="I81:K81">
    <cfRule type="cellIs" dxfId="32" priority="30" operator="equal">
      <formula>"نیمه کلیدی"</formula>
    </cfRule>
  </conditionalFormatting>
  <conditionalFormatting sqref="N81:U81">
    <cfRule type="cellIs" dxfId="31" priority="29" operator="equal">
      <formula>"نیمه کلیدی"</formula>
    </cfRule>
  </conditionalFormatting>
  <conditionalFormatting sqref="V81:Z81">
    <cfRule type="cellIs" dxfId="30" priority="28" operator="equal">
      <formula>"نیمه کلیدی"</formula>
    </cfRule>
  </conditionalFormatting>
  <conditionalFormatting sqref="AH1:AH3 AH5:AH1048576">
    <cfRule type="cellIs" dxfId="29" priority="21" operator="equal">
      <formula>$AJ$11</formula>
    </cfRule>
    <cfRule type="cellIs" dxfId="28" priority="22" operator="equal">
      <formula>$AJ$10</formula>
    </cfRule>
    <cfRule type="cellIs" dxfId="27" priority="23" operator="equal">
      <formula>$AJ$9</formula>
    </cfRule>
  </conditionalFormatting>
  <conditionalFormatting sqref="AA112:AF112">
    <cfRule type="cellIs" dxfId="26" priority="17" operator="equal">
      <formula>"نیمه کلیدی"</formula>
    </cfRule>
  </conditionalFormatting>
  <conditionalFormatting sqref="E112:K112">
    <cfRule type="cellIs" dxfId="25" priority="20" operator="equal">
      <formula>"نیمه کلیدی"</formula>
    </cfRule>
  </conditionalFormatting>
  <conditionalFormatting sqref="N112:U112">
    <cfRule type="cellIs" dxfId="24" priority="19" operator="equal">
      <formula>"نیمه کلیدی"</formula>
    </cfRule>
  </conditionalFormatting>
  <conditionalFormatting sqref="V112:Z112">
    <cfRule type="cellIs" dxfId="23" priority="18" operator="equal">
      <formula>"نیمه کلیدی"</formula>
    </cfRule>
  </conditionalFormatting>
  <conditionalFormatting sqref="AA115:AF115">
    <cfRule type="cellIs" dxfId="22" priority="13" operator="equal">
      <formula>"نیمه کلیدی"</formula>
    </cfRule>
  </conditionalFormatting>
  <conditionalFormatting sqref="E115:K115">
    <cfRule type="cellIs" dxfId="21" priority="16" operator="equal">
      <formula>"نیمه کلیدی"</formula>
    </cfRule>
  </conditionalFormatting>
  <conditionalFormatting sqref="N115:U115">
    <cfRule type="cellIs" dxfId="20" priority="15" operator="equal">
      <formula>"نیمه کلیدی"</formula>
    </cfRule>
  </conditionalFormatting>
  <conditionalFormatting sqref="V115:Z115">
    <cfRule type="cellIs" dxfId="19" priority="14" operator="equal">
      <formula>"نیمه کلیدی"</formula>
    </cfRule>
  </conditionalFormatting>
  <conditionalFormatting sqref="AA117:AF117">
    <cfRule type="cellIs" dxfId="18" priority="9" operator="equal">
      <formula>"نیمه کلیدی"</formula>
    </cfRule>
  </conditionalFormatting>
  <conditionalFormatting sqref="E117:K117">
    <cfRule type="cellIs" dxfId="17" priority="12" operator="equal">
      <formula>"نیمه کلیدی"</formula>
    </cfRule>
  </conditionalFormatting>
  <conditionalFormatting sqref="N117:U117">
    <cfRule type="cellIs" dxfId="16" priority="11" operator="equal">
      <formula>"نیمه کلیدی"</formula>
    </cfRule>
  </conditionalFormatting>
  <conditionalFormatting sqref="V117:Z117">
    <cfRule type="cellIs" dxfId="15" priority="10" operator="equal">
      <formula>"نیمه کلیدی"</formula>
    </cfRule>
  </conditionalFormatting>
  <conditionalFormatting sqref="AA118:AF118">
    <cfRule type="cellIs" dxfId="14" priority="5" operator="equal">
      <formula>"نیمه کلیدی"</formula>
    </cfRule>
  </conditionalFormatting>
  <conditionalFormatting sqref="I118:K118">
    <cfRule type="cellIs" dxfId="13" priority="8" operator="equal">
      <formula>"نیمه کلیدی"</formula>
    </cfRule>
  </conditionalFormatting>
  <conditionalFormatting sqref="N118:U118">
    <cfRule type="cellIs" dxfId="12" priority="7" operator="equal">
      <formula>"نیمه کلیدی"</formula>
    </cfRule>
  </conditionalFormatting>
  <conditionalFormatting sqref="V118:Z118">
    <cfRule type="cellIs" dxfId="11" priority="6" operator="equal">
      <formula>"نیمه کلیدی"</formula>
    </cfRule>
  </conditionalFormatting>
  <conditionalFormatting sqref="AA120:AF121">
    <cfRule type="cellIs" dxfId="7" priority="1" operator="equal">
      <formula>"نیمه کلیدی"</formula>
    </cfRule>
  </conditionalFormatting>
  <conditionalFormatting sqref="E120:K121">
    <cfRule type="cellIs" dxfId="5" priority="4" operator="equal">
      <formula>"نیمه کلیدی"</formula>
    </cfRule>
  </conditionalFormatting>
  <conditionalFormatting sqref="N120:U121">
    <cfRule type="cellIs" dxfId="3" priority="3" operator="equal">
      <formula>"نیمه کلیدی"</formula>
    </cfRule>
  </conditionalFormatting>
  <conditionalFormatting sqref="V120:Z121">
    <cfRule type="cellIs" dxfId="1" priority="2" operator="equal">
      <formula>"نیمه کلیدی"</formula>
    </cfRule>
  </conditionalFormatting>
  <pageMargins left="0" right="0" top="0" bottom="0" header="0.2" footer="0.35"/>
  <pageSetup paperSize="9" scale="38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K116"/>
  <sheetViews>
    <sheetView rightToLeft="1" topLeftCell="D1" zoomScale="85" zoomScaleNormal="85" workbookViewId="0">
      <selection activeCell="T9" sqref="T9"/>
    </sheetView>
  </sheetViews>
  <sheetFormatPr defaultRowHeight="15" x14ac:dyDescent="0.25"/>
  <cols>
    <col min="1" max="1" width="1.5703125" customWidth="1"/>
    <col min="2" max="2" width="3.7109375" customWidth="1"/>
    <col min="3" max="3" width="15.28515625" customWidth="1"/>
    <col min="4" max="4" width="8.42578125" customWidth="1"/>
    <col min="5" max="7" width="4.85546875" customWidth="1"/>
    <col min="8" max="9" width="5.5703125" customWidth="1"/>
    <col min="10" max="11" width="5.140625" customWidth="1"/>
    <col min="12" max="14" width="5.28515625" customWidth="1"/>
    <col min="15" max="17" width="5.42578125" customWidth="1"/>
    <col min="18" max="20" width="6.140625" customWidth="1"/>
    <col min="21" max="22" width="6.5703125" customWidth="1"/>
    <col min="23" max="24" width="7.42578125" customWidth="1"/>
    <col min="25" max="27" width="5.42578125" customWidth="1"/>
    <col min="28" max="30" width="7.140625" customWidth="1"/>
    <col min="31" max="31" width="5.7109375" customWidth="1"/>
    <col min="32" max="32" width="6.7109375" customWidth="1"/>
    <col min="33" max="33" width="5.7109375" customWidth="1"/>
  </cols>
  <sheetData>
    <row r="1" spans="2:37" ht="12" customHeight="1" thickBot="1" x14ac:dyDescent="0.3"/>
    <row r="2" spans="2:37" ht="27.75" customHeight="1" x14ac:dyDescent="0.25">
      <c r="B2" s="6"/>
      <c r="C2" s="7"/>
      <c r="D2" s="7"/>
      <c r="E2" s="185" t="s">
        <v>245</v>
      </c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7"/>
      <c r="AG2" s="191" t="s">
        <v>248</v>
      </c>
      <c r="AH2" s="192"/>
      <c r="AI2" s="193"/>
    </row>
    <row r="3" spans="2:37" ht="26.25" customHeight="1" thickBot="1" x14ac:dyDescent="0.3">
      <c r="B3" s="21"/>
      <c r="C3" s="22"/>
      <c r="D3" s="22"/>
      <c r="E3" s="188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90"/>
      <c r="AG3" s="194" t="s">
        <v>247</v>
      </c>
      <c r="AH3" s="195"/>
      <c r="AI3" s="196"/>
    </row>
    <row r="4" spans="2:37" ht="67.5" customHeight="1" thickBot="1" x14ac:dyDescent="0.3">
      <c r="B4" s="179" t="s">
        <v>0</v>
      </c>
      <c r="C4" s="179" t="s">
        <v>1</v>
      </c>
      <c r="D4" s="176" t="s">
        <v>2</v>
      </c>
      <c r="E4" s="182" t="s">
        <v>237</v>
      </c>
      <c r="F4" s="183"/>
      <c r="G4" s="183"/>
      <c r="H4" s="184" t="s">
        <v>238</v>
      </c>
      <c r="I4" s="184"/>
      <c r="J4" s="212" t="s">
        <v>239</v>
      </c>
      <c r="K4" s="212"/>
      <c r="L4" s="184" t="s">
        <v>240</v>
      </c>
      <c r="M4" s="184"/>
      <c r="N4" s="184"/>
      <c r="O4" s="209" t="s">
        <v>241</v>
      </c>
      <c r="P4" s="183"/>
      <c r="Q4" s="183"/>
      <c r="R4" s="210" t="s">
        <v>250</v>
      </c>
      <c r="S4" s="211"/>
      <c r="T4" s="211"/>
      <c r="U4" s="207" t="s">
        <v>251</v>
      </c>
      <c r="V4" s="208"/>
      <c r="W4" s="197" t="s">
        <v>242</v>
      </c>
      <c r="X4" s="198"/>
      <c r="Y4" s="199" t="s">
        <v>246</v>
      </c>
      <c r="Z4" s="200"/>
      <c r="AA4" s="201"/>
      <c r="AB4" s="202" t="s">
        <v>243</v>
      </c>
      <c r="AC4" s="203"/>
      <c r="AD4" s="204"/>
      <c r="AE4" s="205" t="s">
        <v>244</v>
      </c>
      <c r="AF4" s="206"/>
      <c r="AG4" s="206"/>
      <c r="AH4" s="141" t="s">
        <v>20</v>
      </c>
      <c r="AI4" s="144" t="s">
        <v>21</v>
      </c>
    </row>
    <row r="5" spans="2:37" ht="16.5" customHeight="1" thickBot="1" x14ac:dyDescent="0.3">
      <c r="B5" s="180"/>
      <c r="C5" s="180"/>
      <c r="D5" s="177"/>
      <c r="E5" s="24">
        <v>3</v>
      </c>
      <c r="F5" s="25">
        <v>3</v>
      </c>
      <c r="G5" s="25">
        <v>3</v>
      </c>
      <c r="H5" s="26">
        <v>2</v>
      </c>
      <c r="I5" s="64">
        <v>2</v>
      </c>
      <c r="J5" s="24">
        <v>3</v>
      </c>
      <c r="K5" s="25">
        <v>3</v>
      </c>
      <c r="L5" s="26">
        <v>1</v>
      </c>
      <c r="M5" s="64">
        <v>1</v>
      </c>
      <c r="N5" s="64">
        <v>1</v>
      </c>
      <c r="O5" s="25">
        <v>2</v>
      </c>
      <c r="P5" s="25">
        <v>2</v>
      </c>
      <c r="Q5" s="25">
        <v>2</v>
      </c>
      <c r="R5" s="26">
        <v>3</v>
      </c>
      <c r="S5" s="27">
        <v>3</v>
      </c>
      <c r="T5" s="27">
        <v>3</v>
      </c>
      <c r="U5" s="24">
        <v>1</v>
      </c>
      <c r="V5" s="65">
        <v>1</v>
      </c>
      <c r="W5" s="26">
        <v>1</v>
      </c>
      <c r="X5" s="64">
        <v>1</v>
      </c>
      <c r="Y5" s="24">
        <v>3</v>
      </c>
      <c r="Z5" s="25">
        <v>3</v>
      </c>
      <c r="AA5" s="25">
        <v>3</v>
      </c>
      <c r="AB5" s="26">
        <v>3</v>
      </c>
      <c r="AC5" s="64">
        <v>3</v>
      </c>
      <c r="AD5" s="64">
        <v>3</v>
      </c>
      <c r="AE5" s="24">
        <v>1</v>
      </c>
      <c r="AF5" s="25">
        <v>1</v>
      </c>
      <c r="AG5" s="25">
        <v>1</v>
      </c>
      <c r="AH5" s="142"/>
      <c r="AI5" s="145"/>
    </row>
    <row r="6" spans="2:37" ht="21" customHeight="1" thickBot="1" x14ac:dyDescent="0.3">
      <c r="B6" s="181" t="s">
        <v>0</v>
      </c>
      <c r="C6" s="181" t="s">
        <v>1</v>
      </c>
      <c r="D6" s="178"/>
      <c r="E6" s="30">
        <v>1</v>
      </c>
      <c r="F6" s="31">
        <v>2</v>
      </c>
      <c r="G6" s="31" t="s">
        <v>3</v>
      </c>
      <c r="H6" s="32" t="s">
        <v>4</v>
      </c>
      <c r="I6" s="33" t="s">
        <v>5</v>
      </c>
      <c r="J6" s="34" t="s">
        <v>4</v>
      </c>
      <c r="K6" s="35" t="s">
        <v>5</v>
      </c>
      <c r="L6" s="28">
        <v>3</v>
      </c>
      <c r="M6" s="29">
        <v>2</v>
      </c>
      <c r="N6" s="29" t="s">
        <v>6</v>
      </c>
      <c r="O6" s="34" t="s">
        <v>5</v>
      </c>
      <c r="P6" s="36">
        <v>0.5</v>
      </c>
      <c r="Q6" s="36">
        <v>1</v>
      </c>
      <c r="R6" s="32" t="s">
        <v>7</v>
      </c>
      <c r="S6" s="37" t="s">
        <v>8</v>
      </c>
      <c r="T6" s="33" t="s">
        <v>9</v>
      </c>
      <c r="U6" s="30" t="s">
        <v>10</v>
      </c>
      <c r="V6" s="31" t="s">
        <v>11</v>
      </c>
      <c r="W6" s="38" t="s">
        <v>4</v>
      </c>
      <c r="X6" s="39" t="s">
        <v>5</v>
      </c>
      <c r="Y6" s="40" t="s">
        <v>12</v>
      </c>
      <c r="Z6" s="41" t="s">
        <v>13</v>
      </c>
      <c r="AA6" s="42" t="s">
        <v>14</v>
      </c>
      <c r="AB6" s="43" t="s">
        <v>15</v>
      </c>
      <c r="AC6" s="44" t="s">
        <v>16</v>
      </c>
      <c r="AD6" s="44" t="s">
        <v>17</v>
      </c>
      <c r="AE6" s="40" t="s">
        <v>18</v>
      </c>
      <c r="AF6" s="42" t="s">
        <v>249</v>
      </c>
      <c r="AG6" s="42" t="s">
        <v>19</v>
      </c>
      <c r="AH6" s="143"/>
      <c r="AI6" s="146"/>
    </row>
    <row r="7" spans="2:37" ht="24" customHeight="1" x14ac:dyDescent="0.25">
      <c r="B7" s="12">
        <v>1</v>
      </c>
      <c r="C7" s="13" t="s">
        <v>22</v>
      </c>
      <c r="D7" s="17" t="s">
        <v>129</v>
      </c>
      <c r="E7" s="45"/>
      <c r="F7" s="46"/>
      <c r="G7" s="46"/>
      <c r="H7" s="45"/>
      <c r="I7" s="46"/>
      <c r="J7" s="45"/>
      <c r="K7" s="46"/>
      <c r="L7" s="45"/>
      <c r="M7" s="46"/>
      <c r="N7" s="46"/>
      <c r="O7" s="47"/>
      <c r="P7" s="46"/>
      <c r="Q7" s="46"/>
      <c r="R7" s="45"/>
      <c r="S7" s="46"/>
      <c r="T7" s="46"/>
      <c r="U7" s="45"/>
      <c r="V7" s="46"/>
      <c r="W7" s="45"/>
      <c r="X7" s="46"/>
      <c r="Y7" s="45"/>
      <c r="Z7" s="46"/>
      <c r="AA7" s="46"/>
      <c r="AB7" s="45"/>
      <c r="AC7" s="46"/>
      <c r="AD7" s="46"/>
      <c r="AE7" s="45"/>
      <c r="AF7" s="46"/>
      <c r="AG7" s="46"/>
      <c r="AH7" s="48">
        <f>(E7*10+F7*3)*3+H7*5*2+J7*10*3+L7*5+M7*3+(O7*10+P7*3)*2+(R7*10+S7*5)*3+V7*5+W7*5+(Y7*10+Z7*5)*3+(AB7*10+AC7*5)*3+AE7*5+AF7*3</f>
        <v>0</v>
      </c>
      <c r="AI7" s="49" t="str">
        <f>IF(AH7&gt;100,"کلیدی",IF(AH7&lt;80,"عادی","نیمه کلیدی"))</f>
        <v>عادی</v>
      </c>
    </row>
    <row r="8" spans="2:37" ht="24" customHeight="1" x14ac:dyDescent="0.45">
      <c r="B8" s="23">
        <v>2</v>
      </c>
      <c r="C8" s="13" t="s">
        <v>23</v>
      </c>
      <c r="D8" s="17" t="s">
        <v>130</v>
      </c>
      <c r="E8" s="1"/>
      <c r="F8" s="2"/>
      <c r="G8" s="2"/>
      <c r="H8" s="1"/>
      <c r="I8" s="2"/>
      <c r="J8" s="1"/>
      <c r="K8" s="2"/>
      <c r="L8" s="1"/>
      <c r="M8" s="2"/>
      <c r="N8" s="2"/>
      <c r="O8" s="3"/>
      <c r="P8" s="2"/>
      <c r="Q8" s="2"/>
      <c r="R8" s="4"/>
      <c r="S8" s="5"/>
      <c r="T8" s="5"/>
      <c r="U8" s="1"/>
      <c r="V8" s="2"/>
      <c r="W8" s="8"/>
      <c r="X8" s="9"/>
      <c r="Y8" s="8"/>
      <c r="Z8" s="9"/>
      <c r="AA8" s="9"/>
      <c r="AB8" s="8"/>
      <c r="AC8" s="9"/>
      <c r="AD8" s="9"/>
      <c r="AE8" s="8"/>
      <c r="AF8" s="9"/>
      <c r="AG8" s="9"/>
      <c r="AH8" s="10"/>
      <c r="AI8" s="50"/>
      <c r="AJ8" s="66"/>
      <c r="AK8" t="s">
        <v>252</v>
      </c>
    </row>
    <row r="9" spans="2:37" ht="24" customHeight="1" x14ac:dyDescent="0.45">
      <c r="B9" s="23">
        <v>3</v>
      </c>
      <c r="C9" s="13" t="s">
        <v>24</v>
      </c>
      <c r="D9" s="17" t="s">
        <v>131</v>
      </c>
      <c r="E9" s="1"/>
      <c r="F9" s="2"/>
      <c r="G9" s="2"/>
      <c r="H9" s="1"/>
      <c r="I9" s="2"/>
      <c r="J9" s="1"/>
      <c r="K9" s="2"/>
      <c r="L9" s="1"/>
      <c r="M9" s="2"/>
      <c r="N9" s="2"/>
      <c r="O9" s="3"/>
      <c r="P9" s="2"/>
      <c r="Q9" s="2"/>
      <c r="R9" s="4"/>
      <c r="S9" s="5"/>
      <c r="T9" s="5"/>
      <c r="U9" s="1"/>
      <c r="V9" s="2"/>
      <c r="W9" s="8"/>
      <c r="X9" s="9"/>
      <c r="Y9" s="8"/>
      <c r="Z9" s="9"/>
      <c r="AA9" s="9"/>
      <c r="AB9" s="8"/>
      <c r="AC9" s="9"/>
      <c r="AD9" s="9"/>
      <c r="AE9" s="8"/>
      <c r="AF9" s="9"/>
      <c r="AG9" s="9"/>
      <c r="AH9" s="10"/>
      <c r="AI9" s="50"/>
    </row>
    <row r="10" spans="2:37" ht="24" customHeight="1" x14ac:dyDescent="0.45">
      <c r="B10" s="23">
        <v>4</v>
      </c>
      <c r="C10" s="13" t="s">
        <v>25</v>
      </c>
      <c r="D10" s="17" t="s">
        <v>132</v>
      </c>
      <c r="E10" s="1"/>
      <c r="F10" s="2"/>
      <c r="G10" s="2"/>
      <c r="H10" s="1"/>
      <c r="I10" s="2"/>
      <c r="J10" s="1"/>
      <c r="K10" s="2"/>
      <c r="L10" s="1"/>
      <c r="M10" s="2"/>
      <c r="N10" s="2"/>
      <c r="O10" s="3"/>
      <c r="P10" s="2"/>
      <c r="Q10" s="2"/>
      <c r="R10" s="4"/>
      <c r="S10" s="5"/>
      <c r="T10" s="5"/>
      <c r="U10" s="1"/>
      <c r="V10" s="2"/>
      <c r="W10" s="8"/>
      <c r="X10" s="9"/>
      <c r="Y10" s="8"/>
      <c r="Z10" s="9"/>
      <c r="AA10" s="9"/>
      <c r="AB10" s="8"/>
      <c r="AC10" s="9"/>
      <c r="AD10" s="9"/>
      <c r="AE10" s="8"/>
      <c r="AF10" s="9"/>
      <c r="AG10" s="9"/>
      <c r="AH10" s="10"/>
      <c r="AI10" s="50"/>
    </row>
    <row r="11" spans="2:37" ht="24" customHeight="1" x14ac:dyDescent="0.45">
      <c r="B11" s="23">
        <v>5</v>
      </c>
      <c r="C11" s="13" t="s">
        <v>26</v>
      </c>
      <c r="D11" s="17" t="s">
        <v>133</v>
      </c>
      <c r="E11" s="1"/>
      <c r="F11" s="2"/>
      <c r="G11" s="2"/>
      <c r="H11" s="1"/>
      <c r="I11" s="2"/>
      <c r="J11" s="1"/>
      <c r="K11" s="2"/>
      <c r="L11" s="1"/>
      <c r="M11" s="2"/>
      <c r="N11" s="2"/>
      <c r="O11" s="3"/>
      <c r="P11" s="2"/>
      <c r="Q11" s="2"/>
      <c r="R11" s="4"/>
      <c r="S11" s="5"/>
      <c r="T11" s="5"/>
      <c r="U11" s="1"/>
      <c r="V11" s="2"/>
      <c r="W11" s="8"/>
      <c r="X11" s="9"/>
      <c r="Y11" s="8"/>
      <c r="Z11" s="9"/>
      <c r="AA11" s="9"/>
      <c r="AB11" s="8"/>
      <c r="AC11" s="9"/>
      <c r="AD11" s="9"/>
      <c r="AE11" s="8"/>
      <c r="AF11" s="9"/>
      <c r="AG11" s="9"/>
      <c r="AH11" s="10"/>
      <c r="AI11" s="50"/>
    </row>
    <row r="12" spans="2:37" ht="24" customHeight="1" x14ac:dyDescent="0.45">
      <c r="B12" s="23">
        <v>6</v>
      </c>
      <c r="C12" s="13" t="s">
        <v>27</v>
      </c>
      <c r="D12" s="17" t="s">
        <v>134</v>
      </c>
      <c r="E12" s="1"/>
      <c r="F12" s="2"/>
      <c r="G12" s="2"/>
      <c r="H12" s="1"/>
      <c r="I12" s="2"/>
      <c r="J12" s="1"/>
      <c r="K12" s="2"/>
      <c r="L12" s="1"/>
      <c r="M12" s="2"/>
      <c r="N12" s="2"/>
      <c r="O12" s="3"/>
      <c r="P12" s="2"/>
      <c r="Q12" s="2"/>
      <c r="R12" s="4"/>
      <c r="S12" s="5"/>
      <c r="T12" s="5"/>
      <c r="U12" s="1"/>
      <c r="V12" s="2"/>
      <c r="W12" s="8"/>
      <c r="X12" s="9"/>
      <c r="Y12" s="8"/>
      <c r="Z12" s="9"/>
      <c r="AA12" s="9"/>
      <c r="AB12" s="8"/>
      <c r="AC12" s="9"/>
      <c r="AD12" s="9"/>
      <c r="AE12" s="8"/>
      <c r="AF12" s="9"/>
      <c r="AG12" s="9"/>
      <c r="AH12" s="10"/>
      <c r="AI12" s="50"/>
    </row>
    <row r="13" spans="2:37" ht="24" customHeight="1" x14ac:dyDescent="0.45">
      <c r="B13" s="23">
        <v>7</v>
      </c>
      <c r="C13" s="13" t="s">
        <v>28</v>
      </c>
      <c r="D13" s="17" t="s">
        <v>135</v>
      </c>
      <c r="E13" s="1"/>
      <c r="F13" s="2"/>
      <c r="G13" s="2"/>
      <c r="H13" s="1"/>
      <c r="I13" s="2"/>
      <c r="J13" s="1"/>
      <c r="K13" s="2"/>
      <c r="L13" s="1"/>
      <c r="M13" s="2"/>
      <c r="N13" s="2"/>
      <c r="O13" s="3"/>
      <c r="P13" s="2"/>
      <c r="Q13" s="2"/>
      <c r="R13" s="4"/>
      <c r="S13" s="5"/>
      <c r="T13" s="5"/>
      <c r="U13" s="1"/>
      <c r="V13" s="2"/>
      <c r="W13" s="8"/>
      <c r="X13" s="9"/>
      <c r="Y13" s="8"/>
      <c r="Z13" s="9"/>
      <c r="AA13" s="9"/>
      <c r="AB13" s="8"/>
      <c r="AC13" s="9"/>
      <c r="AD13" s="9"/>
      <c r="AE13" s="8"/>
      <c r="AF13" s="9"/>
      <c r="AG13" s="9"/>
      <c r="AH13" s="10"/>
      <c r="AI13" s="50"/>
    </row>
    <row r="14" spans="2:37" ht="24" customHeight="1" x14ac:dyDescent="0.45">
      <c r="B14" s="23">
        <v>8</v>
      </c>
      <c r="C14" s="14" t="s">
        <v>29</v>
      </c>
      <c r="D14" s="17" t="s">
        <v>136</v>
      </c>
      <c r="E14" s="1"/>
      <c r="F14" s="2"/>
      <c r="G14" s="2"/>
      <c r="H14" s="1"/>
      <c r="I14" s="2"/>
      <c r="J14" s="1"/>
      <c r="K14" s="2"/>
      <c r="L14" s="1"/>
      <c r="M14" s="2"/>
      <c r="N14" s="2"/>
      <c r="O14" s="3"/>
      <c r="P14" s="2"/>
      <c r="Q14" s="2"/>
      <c r="R14" s="4"/>
      <c r="S14" s="5"/>
      <c r="T14" s="5"/>
      <c r="U14" s="1"/>
      <c r="V14" s="2"/>
      <c r="W14" s="8"/>
      <c r="X14" s="9"/>
      <c r="Y14" s="8"/>
      <c r="Z14" s="9"/>
      <c r="AA14" s="9"/>
      <c r="AB14" s="8"/>
      <c r="AC14" s="9"/>
      <c r="AD14" s="9"/>
      <c r="AE14" s="8"/>
      <c r="AF14" s="9"/>
      <c r="AG14" s="9"/>
      <c r="AH14" s="10"/>
      <c r="AI14" s="50"/>
    </row>
    <row r="15" spans="2:37" ht="24" customHeight="1" x14ac:dyDescent="0.45">
      <c r="B15" s="23">
        <v>9</v>
      </c>
      <c r="C15" s="13" t="s">
        <v>30</v>
      </c>
      <c r="D15" s="17" t="s">
        <v>137</v>
      </c>
      <c r="E15" s="1"/>
      <c r="F15" s="2"/>
      <c r="G15" s="2"/>
      <c r="H15" s="1"/>
      <c r="I15" s="2"/>
      <c r="J15" s="1"/>
      <c r="K15" s="2"/>
      <c r="L15" s="1"/>
      <c r="M15" s="2"/>
      <c r="N15" s="2"/>
      <c r="O15" s="3"/>
      <c r="P15" s="2"/>
      <c r="Q15" s="2"/>
      <c r="R15" s="4"/>
      <c r="S15" s="5"/>
      <c r="T15" s="5"/>
      <c r="U15" s="1"/>
      <c r="V15" s="2"/>
      <c r="W15" s="8"/>
      <c r="X15" s="9"/>
      <c r="Y15" s="8"/>
      <c r="Z15" s="9"/>
      <c r="AA15" s="9"/>
      <c r="AB15" s="8"/>
      <c r="AC15" s="9"/>
      <c r="AD15" s="9"/>
      <c r="AE15" s="8"/>
      <c r="AF15" s="9"/>
      <c r="AG15" s="9"/>
      <c r="AH15" s="10"/>
      <c r="AI15" s="50"/>
    </row>
    <row r="16" spans="2:37" ht="24" customHeight="1" x14ac:dyDescent="0.45">
      <c r="B16" s="23">
        <v>10</v>
      </c>
      <c r="C16" s="13" t="s">
        <v>31</v>
      </c>
      <c r="D16" s="17" t="s">
        <v>138</v>
      </c>
      <c r="E16" s="1"/>
      <c r="F16" s="2"/>
      <c r="G16" s="2"/>
      <c r="H16" s="1"/>
      <c r="I16" s="2"/>
      <c r="J16" s="1"/>
      <c r="K16" s="2"/>
      <c r="L16" s="1"/>
      <c r="M16" s="2"/>
      <c r="N16" s="2"/>
      <c r="O16" s="3"/>
      <c r="P16" s="2"/>
      <c r="Q16" s="2"/>
      <c r="R16" s="4"/>
      <c r="S16" s="5"/>
      <c r="T16" s="5"/>
      <c r="U16" s="1"/>
      <c r="V16" s="2"/>
      <c r="W16" s="8"/>
      <c r="X16" s="9"/>
      <c r="Y16" s="8"/>
      <c r="Z16" s="9"/>
      <c r="AA16" s="9"/>
      <c r="AB16" s="8"/>
      <c r="AC16" s="9"/>
      <c r="AD16" s="9"/>
      <c r="AE16" s="8"/>
      <c r="AF16" s="9"/>
      <c r="AG16" s="9"/>
      <c r="AH16" s="10"/>
      <c r="AI16" s="50"/>
    </row>
    <row r="17" spans="2:35" ht="24" customHeight="1" x14ac:dyDescent="0.45">
      <c r="B17" s="23">
        <v>11</v>
      </c>
      <c r="C17" s="13" t="s">
        <v>32</v>
      </c>
      <c r="D17" s="17" t="s">
        <v>139</v>
      </c>
      <c r="E17" s="1"/>
      <c r="F17" s="2"/>
      <c r="G17" s="2"/>
      <c r="H17" s="1"/>
      <c r="I17" s="2"/>
      <c r="J17" s="1"/>
      <c r="K17" s="2"/>
      <c r="L17" s="1"/>
      <c r="M17" s="2"/>
      <c r="N17" s="2"/>
      <c r="O17" s="3"/>
      <c r="P17" s="2"/>
      <c r="Q17" s="2"/>
      <c r="R17" s="4"/>
      <c r="S17" s="5"/>
      <c r="T17" s="5"/>
      <c r="U17" s="1"/>
      <c r="V17" s="2"/>
      <c r="W17" s="8"/>
      <c r="X17" s="9"/>
      <c r="Y17" s="8"/>
      <c r="Z17" s="9"/>
      <c r="AA17" s="9"/>
      <c r="AB17" s="8"/>
      <c r="AC17" s="9"/>
      <c r="AD17" s="9"/>
      <c r="AE17" s="8"/>
      <c r="AF17" s="9"/>
      <c r="AG17" s="9"/>
      <c r="AH17" s="10"/>
      <c r="AI17" s="50"/>
    </row>
    <row r="18" spans="2:35" ht="24" customHeight="1" x14ac:dyDescent="0.45">
      <c r="B18" s="23">
        <v>12</v>
      </c>
      <c r="C18" s="15" t="s">
        <v>33</v>
      </c>
      <c r="D18" s="18" t="s">
        <v>140</v>
      </c>
      <c r="E18" s="1"/>
      <c r="F18" s="2"/>
      <c r="G18" s="2"/>
      <c r="H18" s="1"/>
      <c r="I18" s="2"/>
      <c r="J18" s="1"/>
      <c r="K18" s="2"/>
      <c r="L18" s="1"/>
      <c r="M18" s="2"/>
      <c r="N18" s="2"/>
      <c r="O18" s="3"/>
      <c r="P18" s="2"/>
      <c r="Q18" s="2"/>
      <c r="R18" s="4"/>
      <c r="S18" s="5"/>
      <c r="T18" s="5"/>
      <c r="U18" s="1"/>
      <c r="V18" s="2"/>
      <c r="W18" s="8"/>
      <c r="X18" s="9"/>
      <c r="Y18" s="8"/>
      <c r="Z18" s="9"/>
      <c r="AA18" s="9"/>
      <c r="AB18" s="8"/>
      <c r="AC18" s="9"/>
      <c r="AD18" s="9"/>
      <c r="AE18" s="8"/>
      <c r="AF18" s="9"/>
      <c r="AG18" s="9"/>
      <c r="AH18" s="10"/>
      <c r="AI18" s="50"/>
    </row>
    <row r="19" spans="2:35" ht="24" customHeight="1" x14ac:dyDescent="0.45">
      <c r="B19" s="23">
        <v>13</v>
      </c>
      <c r="C19" s="13" t="s">
        <v>34</v>
      </c>
      <c r="D19" s="17" t="s">
        <v>141</v>
      </c>
      <c r="E19" s="1"/>
      <c r="F19" s="2"/>
      <c r="G19" s="2"/>
      <c r="H19" s="1"/>
      <c r="I19" s="2"/>
      <c r="J19" s="1"/>
      <c r="K19" s="2"/>
      <c r="L19" s="1"/>
      <c r="M19" s="2"/>
      <c r="N19" s="2"/>
      <c r="O19" s="3"/>
      <c r="P19" s="2"/>
      <c r="Q19" s="2"/>
      <c r="R19" s="4"/>
      <c r="S19" s="5"/>
      <c r="T19" s="5"/>
      <c r="U19" s="1"/>
      <c r="V19" s="2"/>
      <c r="W19" s="8"/>
      <c r="X19" s="9"/>
      <c r="Y19" s="8"/>
      <c r="Z19" s="9"/>
      <c r="AA19" s="9"/>
      <c r="AB19" s="8"/>
      <c r="AC19" s="9"/>
      <c r="AD19" s="9"/>
      <c r="AE19" s="8"/>
      <c r="AF19" s="9"/>
      <c r="AG19" s="9"/>
      <c r="AH19" s="10"/>
      <c r="AI19" s="50"/>
    </row>
    <row r="20" spans="2:35" ht="24" customHeight="1" x14ac:dyDescent="0.45">
      <c r="B20" s="23">
        <v>14</v>
      </c>
      <c r="C20" s="16" t="s">
        <v>35</v>
      </c>
      <c r="D20" s="17" t="s">
        <v>142</v>
      </c>
      <c r="E20" s="1"/>
      <c r="F20" s="2"/>
      <c r="G20" s="2"/>
      <c r="H20" s="1"/>
      <c r="I20" s="2"/>
      <c r="J20" s="1"/>
      <c r="K20" s="2"/>
      <c r="L20" s="1"/>
      <c r="M20" s="2"/>
      <c r="N20" s="2"/>
      <c r="O20" s="3"/>
      <c r="P20" s="2"/>
      <c r="Q20" s="2"/>
      <c r="R20" s="4"/>
      <c r="S20" s="5"/>
      <c r="T20" s="5"/>
      <c r="U20" s="1"/>
      <c r="V20" s="2"/>
      <c r="W20" s="8"/>
      <c r="X20" s="9"/>
      <c r="Y20" s="8"/>
      <c r="Z20" s="9"/>
      <c r="AA20" s="9"/>
      <c r="AB20" s="8"/>
      <c r="AC20" s="9"/>
      <c r="AD20" s="9"/>
      <c r="AE20" s="8"/>
      <c r="AF20" s="9"/>
      <c r="AG20" s="9"/>
      <c r="AH20" s="10"/>
      <c r="AI20" s="50"/>
    </row>
    <row r="21" spans="2:35" ht="24" customHeight="1" x14ac:dyDescent="0.45">
      <c r="B21" s="23">
        <v>15</v>
      </c>
      <c r="C21" s="16" t="s">
        <v>36</v>
      </c>
      <c r="D21" s="17" t="s">
        <v>143</v>
      </c>
      <c r="E21" s="1"/>
      <c r="F21" s="2"/>
      <c r="G21" s="2"/>
      <c r="H21" s="1"/>
      <c r="I21" s="2"/>
      <c r="J21" s="1"/>
      <c r="K21" s="2"/>
      <c r="L21" s="1"/>
      <c r="M21" s="2"/>
      <c r="N21" s="2"/>
      <c r="O21" s="3"/>
      <c r="P21" s="2"/>
      <c r="Q21" s="2"/>
      <c r="R21" s="4"/>
      <c r="S21" s="5"/>
      <c r="T21" s="5"/>
      <c r="U21" s="1"/>
      <c r="V21" s="2"/>
      <c r="W21" s="8"/>
      <c r="X21" s="9"/>
      <c r="Y21" s="8"/>
      <c r="Z21" s="9"/>
      <c r="AA21" s="9"/>
      <c r="AB21" s="8"/>
      <c r="AC21" s="9"/>
      <c r="AD21" s="9"/>
      <c r="AE21" s="8"/>
      <c r="AF21" s="9"/>
      <c r="AG21" s="9"/>
      <c r="AH21" s="10"/>
      <c r="AI21" s="50"/>
    </row>
    <row r="22" spans="2:35" ht="24" customHeight="1" x14ac:dyDescent="0.45">
      <c r="B22" s="23">
        <v>16</v>
      </c>
      <c r="C22" s="16" t="s">
        <v>37</v>
      </c>
      <c r="D22" s="17" t="s">
        <v>144</v>
      </c>
      <c r="E22" s="1"/>
      <c r="F22" s="2"/>
      <c r="G22" s="2"/>
      <c r="H22" s="1"/>
      <c r="I22" s="2"/>
      <c r="J22" s="1"/>
      <c r="K22" s="2"/>
      <c r="L22" s="1"/>
      <c r="M22" s="2"/>
      <c r="N22" s="2"/>
      <c r="O22" s="3"/>
      <c r="P22" s="2"/>
      <c r="Q22" s="2"/>
      <c r="R22" s="4"/>
      <c r="S22" s="5"/>
      <c r="T22" s="5"/>
      <c r="U22" s="1"/>
      <c r="V22" s="2"/>
      <c r="W22" s="8"/>
      <c r="X22" s="9"/>
      <c r="Y22" s="8"/>
      <c r="Z22" s="9"/>
      <c r="AA22" s="9"/>
      <c r="AB22" s="8"/>
      <c r="AC22" s="9"/>
      <c r="AD22" s="9"/>
      <c r="AE22" s="8"/>
      <c r="AF22" s="9"/>
      <c r="AG22" s="9"/>
      <c r="AH22" s="10"/>
      <c r="AI22" s="50"/>
    </row>
    <row r="23" spans="2:35" ht="24" customHeight="1" x14ac:dyDescent="0.45">
      <c r="B23" s="23">
        <v>17</v>
      </c>
      <c r="C23" s="16" t="s">
        <v>38</v>
      </c>
      <c r="D23" s="17" t="s">
        <v>145</v>
      </c>
      <c r="E23" s="1"/>
      <c r="F23" s="2"/>
      <c r="G23" s="2"/>
      <c r="H23" s="1"/>
      <c r="I23" s="2"/>
      <c r="J23" s="1"/>
      <c r="K23" s="2"/>
      <c r="L23" s="1"/>
      <c r="M23" s="2"/>
      <c r="N23" s="2"/>
      <c r="O23" s="3"/>
      <c r="P23" s="2"/>
      <c r="Q23" s="2"/>
      <c r="R23" s="4"/>
      <c r="S23" s="5"/>
      <c r="T23" s="5"/>
      <c r="U23" s="1"/>
      <c r="V23" s="2"/>
      <c r="W23" s="8"/>
      <c r="X23" s="9"/>
      <c r="Y23" s="8"/>
      <c r="Z23" s="9"/>
      <c r="AA23" s="9"/>
      <c r="AB23" s="8"/>
      <c r="AC23" s="9"/>
      <c r="AD23" s="9"/>
      <c r="AE23" s="8"/>
      <c r="AF23" s="9"/>
      <c r="AG23" s="9"/>
      <c r="AH23" s="10"/>
      <c r="AI23" s="50"/>
    </row>
    <row r="24" spans="2:35" ht="24" customHeight="1" x14ac:dyDescent="0.45">
      <c r="B24" s="23">
        <v>18</v>
      </c>
      <c r="C24" s="16" t="s">
        <v>39</v>
      </c>
      <c r="D24" s="17" t="s">
        <v>146</v>
      </c>
      <c r="E24" s="1"/>
      <c r="F24" s="2"/>
      <c r="G24" s="2"/>
      <c r="H24" s="1"/>
      <c r="I24" s="2"/>
      <c r="J24" s="1"/>
      <c r="K24" s="2"/>
      <c r="L24" s="1"/>
      <c r="M24" s="2"/>
      <c r="N24" s="2"/>
      <c r="O24" s="3"/>
      <c r="P24" s="2"/>
      <c r="Q24" s="2"/>
      <c r="R24" s="4"/>
      <c r="S24" s="5"/>
      <c r="T24" s="5"/>
      <c r="U24" s="1"/>
      <c r="V24" s="2"/>
      <c r="W24" s="8"/>
      <c r="X24" s="9"/>
      <c r="Y24" s="8"/>
      <c r="Z24" s="9"/>
      <c r="AA24" s="9"/>
      <c r="AB24" s="8"/>
      <c r="AC24" s="9"/>
      <c r="AD24" s="9"/>
      <c r="AE24" s="8"/>
      <c r="AF24" s="9"/>
      <c r="AG24" s="9"/>
      <c r="AH24" s="10"/>
      <c r="AI24" s="50"/>
    </row>
    <row r="25" spans="2:35" ht="24" customHeight="1" x14ac:dyDescent="0.45">
      <c r="B25" s="23">
        <v>19</v>
      </c>
      <c r="C25" s="16" t="s">
        <v>40</v>
      </c>
      <c r="D25" s="17" t="s">
        <v>147</v>
      </c>
      <c r="E25" s="1"/>
      <c r="F25" s="2"/>
      <c r="G25" s="2"/>
      <c r="H25" s="1"/>
      <c r="I25" s="2"/>
      <c r="J25" s="1"/>
      <c r="K25" s="2"/>
      <c r="L25" s="1"/>
      <c r="M25" s="2"/>
      <c r="N25" s="2"/>
      <c r="O25" s="3"/>
      <c r="P25" s="2"/>
      <c r="Q25" s="2"/>
      <c r="R25" s="4"/>
      <c r="S25" s="5"/>
      <c r="T25" s="5"/>
      <c r="U25" s="1"/>
      <c r="V25" s="2"/>
      <c r="W25" s="8"/>
      <c r="X25" s="9"/>
      <c r="Y25" s="8"/>
      <c r="Z25" s="9"/>
      <c r="AA25" s="9"/>
      <c r="AB25" s="8"/>
      <c r="AC25" s="9"/>
      <c r="AD25" s="9"/>
      <c r="AE25" s="8"/>
      <c r="AF25" s="9"/>
      <c r="AG25" s="9"/>
      <c r="AH25" s="10"/>
      <c r="AI25" s="50"/>
    </row>
    <row r="26" spans="2:35" ht="24" customHeight="1" x14ac:dyDescent="0.45">
      <c r="B26" s="23">
        <v>20</v>
      </c>
      <c r="C26" s="16" t="s">
        <v>41</v>
      </c>
      <c r="D26" s="17" t="s">
        <v>148</v>
      </c>
      <c r="E26" s="1"/>
      <c r="F26" s="2"/>
      <c r="G26" s="2"/>
      <c r="H26" s="1"/>
      <c r="I26" s="2"/>
      <c r="J26" s="1"/>
      <c r="K26" s="2"/>
      <c r="L26" s="1"/>
      <c r="M26" s="2"/>
      <c r="N26" s="2"/>
      <c r="O26" s="3"/>
      <c r="P26" s="2"/>
      <c r="Q26" s="2"/>
      <c r="R26" s="4"/>
      <c r="S26" s="5"/>
      <c r="T26" s="5"/>
      <c r="U26" s="1"/>
      <c r="V26" s="2"/>
      <c r="W26" s="8"/>
      <c r="X26" s="9"/>
      <c r="Y26" s="8"/>
      <c r="Z26" s="9"/>
      <c r="AA26" s="9"/>
      <c r="AB26" s="8"/>
      <c r="AC26" s="9"/>
      <c r="AD26" s="9"/>
      <c r="AE26" s="8"/>
      <c r="AF26" s="9"/>
      <c r="AG26" s="9"/>
      <c r="AH26" s="10"/>
      <c r="AI26" s="50"/>
    </row>
    <row r="27" spans="2:35" ht="24" customHeight="1" x14ac:dyDescent="0.45">
      <c r="B27" s="23">
        <v>21</v>
      </c>
      <c r="C27" s="16" t="s">
        <v>42</v>
      </c>
      <c r="D27" s="19" t="s">
        <v>149</v>
      </c>
      <c r="E27" s="1"/>
      <c r="F27" s="2"/>
      <c r="G27" s="2"/>
      <c r="H27" s="1"/>
      <c r="I27" s="2"/>
      <c r="J27" s="1"/>
      <c r="K27" s="2"/>
      <c r="L27" s="1"/>
      <c r="M27" s="2"/>
      <c r="N27" s="2"/>
      <c r="O27" s="3"/>
      <c r="P27" s="2"/>
      <c r="Q27" s="2"/>
      <c r="R27" s="4"/>
      <c r="S27" s="5"/>
      <c r="T27" s="5"/>
      <c r="U27" s="1"/>
      <c r="V27" s="2"/>
      <c r="W27" s="8"/>
      <c r="X27" s="9"/>
      <c r="Y27" s="8"/>
      <c r="Z27" s="9"/>
      <c r="AA27" s="9"/>
      <c r="AB27" s="8"/>
      <c r="AC27" s="9"/>
      <c r="AD27" s="9"/>
      <c r="AE27" s="8"/>
      <c r="AF27" s="9"/>
      <c r="AG27" s="9"/>
      <c r="AH27" s="10"/>
      <c r="AI27" s="50"/>
    </row>
    <row r="28" spans="2:35" ht="24" customHeight="1" x14ac:dyDescent="0.45">
      <c r="B28" s="23">
        <v>22</v>
      </c>
      <c r="C28" s="16" t="s">
        <v>43</v>
      </c>
      <c r="D28" s="19" t="s">
        <v>150</v>
      </c>
      <c r="E28" s="1"/>
      <c r="F28" s="2"/>
      <c r="G28" s="2"/>
      <c r="H28" s="1"/>
      <c r="I28" s="2"/>
      <c r="J28" s="1"/>
      <c r="K28" s="2"/>
      <c r="L28" s="1"/>
      <c r="M28" s="2"/>
      <c r="N28" s="2"/>
      <c r="O28" s="3"/>
      <c r="P28" s="2"/>
      <c r="Q28" s="2"/>
      <c r="R28" s="4"/>
      <c r="S28" s="5"/>
      <c r="T28" s="5"/>
      <c r="U28" s="1"/>
      <c r="V28" s="2"/>
      <c r="W28" s="8"/>
      <c r="X28" s="9"/>
      <c r="Y28" s="8"/>
      <c r="Z28" s="9"/>
      <c r="AA28" s="9"/>
      <c r="AB28" s="8"/>
      <c r="AC28" s="9"/>
      <c r="AD28" s="9"/>
      <c r="AE28" s="8"/>
      <c r="AF28" s="9"/>
      <c r="AG28" s="9"/>
      <c r="AH28" s="10"/>
      <c r="AI28" s="50"/>
    </row>
    <row r="29" spans="2:35" ht="24" customHeight="1" x14ac:dyDescent="0.45">
      <c r="B29" s="23">
        <v>23</v>
      </c>
      <c r="C29" s="16" t="s">
        <v>44</v>
      </c>
      <c r="D29" s="19" t="s">
        <v>151</v>
      </c>
      <c r="E29" s="1"/>
      <c r="F29" s="2"/>
      <c r="G29" s="2"/>
      <c r="H29" s="1"/>
      <c r="I29" s="2"/>
      <c r="J29" s="1"/>
      <c r="K29" s="2"/>
      <c r="L29" s="1"/>
      <c r="M29" s="2"/>
      <c r="N29" s="2"/>
      <c r="O29" s="3"/>
      <c r="P29" s="2"/>
      <c r="Q29" s="2"/>
      <c r="R29" s="4"/>
      <c r="S29" s="5"/>
      <c r="T29" s="5"/>
      <c r="U29" s="1"/>
      <c r="V29" s="2"/>
      <c r="W29" s="8"/>
      <c r="X29" s="9"/>
      <c r="Y29" s="8"/>
      <c r="Z29" s="9"/>
      <c r="AA29" s="9"/>
      <c r="AB29" s="8"/>
      <c r="AC29" s="9"/>
      <c r="AD29" s="9"/>
      <c r="AE29" s="8"/>
      <c r="AF29" s="9"/>
      <c r="AG29" s="9"/>
      <c r="AH29" s="10"/>
      <c r="AI29" s="50"/>
    </row>
    <row r="30" spans="2:35" ht="24" customHeight="1" x14ac:dyDescent="0.45">
      <c r="B30" s="23">
        <v>24</v>
      </c>
      <c r="C30" s="16" t="s">
        <v>45</v>
      </c>
      <c r="D30" s="19" t="s">
        <v>152</v>
      </c>
      <c r="E30" s="1"/>
      <c r="F30" s="2"/>
      <c r="G30" s="2"/>
      <c r="H30" s="1"/>
      <c r="I30" s="2"/>
      <c r="J30" s="1"/>
      <c r="K30" s="2"/>
      <c r="L30" s="1"/>
      <c r="M30" s="2"/>
      <c r="N30" s="2"/>
      <c r="O30" s="3"/>
      <c r="P30" s="2"/>
      <c r="Q30" s="2"/>
      <c r="R30" s="4"/>
      <c r="S30" s="5"/>
      <c r="T30" s="5"/>
      <c r="U30" s="1"/>
      <c r="V30" s="2"/>
      <c r="W30" s="8"/>
      <c r="X30" s="9"/>
      <c r="Y30" s="8"/>
      <c r="Z30" s="9"/>
      <c r="AA30" s="9"/>
      <c r="AB30" s="8"/>
      <c r="AC30" s="9"/>
      <c r="AD30" s="9"/>
      <c r="AE30" s="8"/>
      <c r="AF30" s="9"/>
      <c r="AG30" s="9"/>
      <c r="AH30" s="10"/>
      <c r="AI30" s="50"/>
    </row>
    <row r="31" spans="2:35" ht="24" customHeight="1" x14ac:dyDescent="0.45">
      <c r="B31" s="23">
        <v>25</v>
      </c>
      <c r="C31" s="16" t="s">
        <v>46</v>
      </c>
      <c r="D31" s="19" t="s">
        <v>153</v>
      </c>
      <c r="E31" s="1"/>
      <c r="F31" s="2"/>
      <c r="G31" s="2"/>
      <c r="H31" s="1"/>
      <c r="I31" s="2"/>
      <c r="J31" s="1"/>
      <c r="K31" s="2"/>
      <c r="L31" s="1"/>
      <c r="M31" s="2"/>
      <c r="N31" s="2"/>
      <c r="O31" s="3"/>
      <c r="P31" s="2"/>
      <c r="Q31" s="2"/>
      <c r="R31" s="4"/>
      <c r="S31" s="5"/>
      <c r="T31" s="5"/>
      <c r="U31" s="1"/>
      <c r="V31" s="2"/>
      <c r="W31" s="8"/>
      <c r="X31" s="9"/>
      <c r="Y31" s="8"/>
      <c r="Z31" s="9"/>
      <c r="AA31" s="9"/>
      <c r="AB31" s="8"/>
      <c r="AC31" s="9"/>
      <c r="AD31" s="9"/>
      <c r="AE31" s="8"/>
      <c r="AF31" s="9"/>
      <c r="AG31" s="9"/>
      <c r="AH31" s="10"/>
      <c r="AI31" s="50"/>
    </row>
    <row r="32" spans="2:35" ht="24" customHeight="1" x14ac:dyDescent="0.45">
      <c r="B32" s="23">
        <v>26</v>
      </c>
      <c r="C32" s="20" t="s">
        <v>47</v>
      </c>
      <c r="D32" s="19" t="s">
        <v>154</v>
      </c>
      <c r="E32" s="1"/>
      <c r="F32" s="2"/>
      <c r="G32" s="2"/>
      <c r="H32" s="1"/>
      <c r="I32" s="2"/>
      <c r="J32" s="1"/>
      <c r="K32" s="2"/>
      <c r="L32" s="1"/>
      <c r="M32" s="2"/>
      <c r="N32" s="2"/>
      <c r="O32" s="3"/>
      <c r="P32" s="2"/>
      <c r="Q32" s="2"/>
      <c r="R32" s="4"/>
      <c r="S32" s="5"/>
      <c r="T32" s="5"/>
      <c r="U32" s="1"/>
      <c r="V32" s="2"/>
      <c r="W32" s="8"/>
      <c r="X32" s="9"/>
      <c r="Y32" s="8"/>
      <c r="Z32" s="9"/>
      <c r="AA32" s="9"/>
      <c r="AB32" s="8"/>
      <c r="AC32" s="9"/>
      <c r="AD32" s="9"/>
      <c r="AE32" s="8"/>
      <c r="AF32" s="9"/>
      <c r="AG32" s="9"/>
      <c r="AH32" s="11"/>
      <c r="AI32" s="51"/>
    </row>
    <row r="33" spans="2:35" ht="24" customHeight="1" x14ac:dyDescent="0.45">
      <c r="B33" s="23">
        <v>27</v>
      </c>
      <c r="C33" s="20" t="s">
        <v>48</v>
      </c>
      <c r="D33" s="19" t="s">
        <v>155</v>
      </c>
      <c r="E33" s="1"/>
      <c r="F33" s="2"/>
      <c r="G33" s="2"/>
      <c r="H33" s="1"/>
      <c r="I33" s="2"/>
      <c r="J33" s="1"/>
      <c r="K33" s="2"/>
      <c r="L33" s="1"/>
      <c r="M33" s="2"/>
      <c r="N33" s="2"/>
      <c r="O33" s="3"/>
      <c r="P33" s="2"/>
      <c r="Q33" s="2"/>
      <c r="R33" s="4"/>
      <c r="S33" s="5"/>
      <c r="T33" s="5"/>
      <c r="U33" s="1"/>
      <c r="V33" s="2"/>
      <c r="W33" s="8"/>
      <c r="X33" s="9"/>
      <c r="Y33" s="8"/>
      <c r="Z33" s="9"/>
      <c r="AA33" s="9"/>
      <c r="AB33" s="8"/>
      <c r="AC33" s="9"/>
      <c r="AD33" s="9"/>
      <c r="AE33" s="8"/>
      <c r="AF33" s="9"/>
      <c r="AG33" s="9"/>
      <c r="AH33" s="11"/>
      <c r="AI33" s="51"/>
    </row>
    <row r="34" spans="2:35" ht="24" customHeight="1" x14ac:dyDescent="0.45">
      <c r="B34" s="23">
        <v>28</v>
      </c>
      <c r="C34" s="20" t="s">
        <v>49</v>
      </c>
      <c r="D34" s="19" t="s">
        <v>156</v>
      </c>
      <c r="E34" s="1"/>
      <c r="F34" s="2"/>
      <c r="G34" s="2"/>
      <c r="H34" s="1"/>
      <c r="I34" s="2"/>
      <c r="J34" s="1"/>
      <c r="K34" s="2"/>
      <c r="L34" s="1"/>
      <c r="M34" s="2"/>
      <c r="N34" s="2"/>
      <c r="O34" s="3"/>
      <c r="P34" s="2"/>
      <c r="Q34" s="2"/>
      <c r="R34" s="4"/>
      <c r="S34" s="5"/>
      <c r="T34" s="5"/>
      <c r="U34" s="1"/>
      <c r="V34" s="2"/>
      <c r="W34" s="8"/>
      <c r="X34" s="9"/>
      <c r="Y34" s="8"/>
      <c r="Z34" s="9"/>
      <c r="AA34" s="9"/>
      <c r="AB34" s="8"/>
      <c r="AC34" s="9"/>
      <c r="AD34" s="9"/>
      <c r="AE34" s="8"/>
      <c r="AF34" s="9"/>
      <c r="AG34" s="9"/>
      <c r="AH34" s="11"/>
      <c r="AI34" s="51"/>
    </row>
    <row r="35" spans="2:35" ht="24" customHeight="1" x14ac:dyDescent="0.45">
      <c r="B35" s="23">
        <v>29</v>
      </c>
      <c r="C35" s="20" t="s">
        <v>50</v>
      </c>
      <c r="D35" s="19" t="s">
        <v>157</v>
      </c>
      <c r="E35" s="1"/>
      <c r="F35" s="2"/>
      <c r="G35" s="2"/>
      <c r="H35" s="1"/>
      <c r="I35" s="2"/>
      <c r="J35" s="1"/>
      <c r="K35" s="2"/>
      <c r="L35" s="1"/>
      <c r="M35" s="2"/>
      <c r="N35" s="2"/>
      <c r="O35" s="3"/>
      <c r="P35" s="2"/>
      <c r="Q35" s="2"/>
      <c r="R35" s="4"/>
      <c r="S35" s="5"/>
      <c r="T35" s="5"/>
      <c r="U35" s="1"/>
      <c r="V35" s="2"/>
      <c r="W35" s="8"/>
      <c r="X35" s="9"/>
      <c r="Y35" s="8"/>
      <c r="Z35" s="9"/>
      <c r="AA35" s="9"/>
      <c r="AB35" s="8"/>
      <c r="AC35" s="9"/>
      <c r="AD35" s="9"/>
      <c r="AE35" s="8"/>
      <c r="AF35" s="9"/>
      <c r="AG35" s="9"/>
      <c r="AH35" s="11"/>
      <c r="AI35" s="51"/>
    </row>
    <row r="36" spans="2:35" ht="24" customHeight="1" x14ac:dyDescent="0.45">
      <c r="B36" s="23">
        <v>30</v>
      </c>
      <c r="C36" s="20" t="s">
        <v>51</v>
      </c>
      <c r="D36" s="19" t="s">
        <v>158</v>
      </c>
      <c r="E36" s="1"/>
      <c r="F36" s="2"/>
      <c r="G36" s="2"/>
      <c r="H36" s="1"/>
      <c r="I36" s="2"/>
      <c r="J36" s="1"/>
      <c r="K36" s="2"/>
      <c r="L36" s="1"/>
      <c r="M36" s="2"/>
      <c r="N36" s="2"/>
      <c r="O36" s="3"/>
      <c r="P36" s="2"/>
      <c r="Q36" s="2"/>
      <c r="R36" s="4"/>
      <c r="S36" s="5"/>
      <c r="T36" s="5"/>
      <c r="U36" s="1"/>
      <c r="V36" s="2"/>
      <c r="W36" s="8"/>
      <c r="X36" s="9"/>
      <c r="Y36" s="8"/>
      <c r="Z36" s="9"/>
      <c r="AA36" s="9"/>
      <c r="AB36" s="8"/>
      <c r="AC36" s="9"/>
      <c r="AD36" s="9"/>
      <c r="AE36" s="8"/>
      <c r="AF36" s="9"/>
      <c r="AG36" s="9"/>
      <c r="AH36" s="11"/>
      <c r="AI36" s="51"/>
    </row>
    <row r="37" spans="2:35" ht="24" customHeight="1" x14ac:dyDescent="0.45">
      <c r="B37" s="23">
        <v>31</v>
      </c>
      <c r="C37" s="20" t="s">
        <v>52</v>
      </c>
      <c r="D37" s="19" t="s">
        <v>159</v>
      </c>
      <c r="E37" s="1"/>
      <c r="F37" s="2"/>
      <c r="G37" s="2"/>
      <c r="H37" s="1"/>
      <c r="I37" s="2"/>
      <c r="J37" s="1"/>
      <c r="K37" s="2"/>
      <c r="L37" s="1"/>
      <c r="M37" s="2"/>
      <c r="N37" s="2"/>
      <c r="O37" s="3"/>
      <c r="P37" s="2"/>
      <c r="Q37" s="2"/>
      <c r="R37" s="4"/>
      <c r="S37" s="5"/>
      <c r="T37" s="5"/>
      <c r="U37" s="1"/>
      <c r="V37" s="2"/>
      <c r="W37" s="8"/>
      <c r="X37" s="9"/>
      <c r="Y37" s="8"/>
      <c r="Z37" s="9"/>
      <c r="AA37" s="9"/>
      <c r="AB37" s="8"/>
      <c r="AC37" s="9"/>
      <c r="AD37" s="9"/>
      <c r="AE37" s="8"/>
      <c r="AF37" s="9"/>
      <c r="AG37" s="9"/>
      <c r="AH37" s="11"/>
      <c r="AI37" s="51"/>
    </row>
    <row r="38" spans="2:35" ht="24" customHeight="1" x14ac:dyDescent="0.45">
      <c r="B38" s="23">
        <v>32</v>
      </c>
      <c r="C38" s="20" t="s">
        <v>53</v>
      </c>
      <c r="D38" s="19" t="s">
        <v>160</v>
      </c>
      <c r="E38" s="1"/>
      <c r="F38" s="2"/>
      <c r="G38" s="2"/>
      <c r="H38" s="1"/>
      <c r="I38" s="2"/>
      <c r="J38" s="1"/>
      <c r="K38" s="2"/>
      <c r="L38" s="1"/>
      <c r="M38" s="2"/>
      <c r="N38" s="2"/>
      <c r="O38" s="3"/>
      <c r="P38" s="2"/>
      <c r="Q38" s="2"/>
      <c r="R38" s="4"/>
      <c r="S38" s="5"/>
      <c r="T38" s="5"/>
      <c r="U38" s="1"/>
      <c r="V38" s="2"/>
      <c r="W38" s="8"/>
      <c r="X38" s="9"/>
      <c r="Y38" s="8"/>
      <c r="Z38" s="9"/>
      <c r="AA38" s="9"/>
      <c r="AB38" s="8"/>
      <c r="AC38" s="9"/>
      <c r="AD38" s="9"/>
      <c r="AE38" s="8"/>
      <c r="AF38" s="9"/>
      <c r="AG38" s="9"/>
      <c r="AH38" s="11"/>
      <c r="AI38" s="51"/>
    </row>
    <row r="39" spans="2:35" ht="24" customHeight="1" x14ac:dyDescent="0.45">
      <c r="B39" s="23">
        <v>33</v>
      </c>
      <c r="C39" s="20" t="s">
        <v>54</v>
      </c>
      <c r="D39" s="19" t="s">
        <v>161</v>
      </c>
      <c r="E39" s="1"/>
      <c r="F39" s="2"/>
      <c r="G39" s="2"/>
      <c r="H39" s="1"/>
      <c r="I39" s="2"/>
      <c r="J39" s="1"/>
      <c r="K39" s="2"/>
      <c r="L39" s="1"/>
      <c r="M39" s="2"/>
      <c r="N39" s="2"/>
      <c r="O39" s="3"/>
      <c r="P39" s="2"/>
      <c r="Q39" s="2"/>
      <c r="R39" s="4"/>
      <c r="S39" s="5"/>
      <c r="T39" s="5"/>
      <c r="U39" s="1"/>
      <c r="V39" s="2"/>
      <c r="W39" s="8"/>
      <c r="X39" s="9"/>
      <c r="Y39" s="8"/>
      <c r="Z39" s="9"/>
      <c r="AA39" s="9"/>
      <c r="AB39" s="8"/>
      <c r="AC39" s="9"/>
      <c r="AD39" s="9"/>
      <c r="AE39" s="8"/>
      <c r="AF39" s="9"/>
      <c r="AG39" s="9"/>
      <c r="AH39" s="11"/>
      <c r="AI39" s="51"/>
    </row>
    <row r="40" spans="2:35" ht="24" customHeight="1" x14ac:dyDescent="0.45">
      <c r="B40" s="23">
        <v>34</v>
      </c>
      <c r="C40" s="20" t="s">
        <v>55</v>
      </c>
      <c r="D40" s="19" t="s">
        <v>162</v>
      </c>
      <c r="E40" s="1"/>
      <c r="F40" s="2"/>
      <c r="G40" s="2"/>
      <c r="H40" s="1"/>
      <c r="I40" s="2"/>
      <c r="J40" s="1"/>
      <c r="K40" s="2"/>
      <c r="L40" s="1"/>
      <c r="M40" s="2"/>
      <c r="N40" s="2"/>
      <c r="O40" s="3"/>
      <c r="P40" s="2"/>
      <c r="Q40" s="2"/>
      <c r="R40" s="4"/>
      <c r="S40" s="5"/>
      <c r="T40" s="5"/>
      <c r="U40" s="1"/>
      <c r="V40" s="2"/>
      <c r="W40" s="8"/>
      <c r="X40" s="9"/>
      <c r="Y40" s="8"/>
      <c r="Z40" s="9"/>
      <c r="AA40" s="9"/>
      <c r="AB40" s="8"/>
      <c r="AC40" s="9"/>
      <c r="AD40" s="9"/>
      <c r="AE40" s="8"/>
      <c r="AF40" s="9"/>
      <c r="AG40" s="9"/>
      <c r="AH40" s="11"/>
      <c r="AI40" s="51"/>
    </row>
    <row r="41" spans="2:35" ht="24" customHeight="1" x14ac:dyDescent="0.45">
      <c r="B41" s="23">
        <v>35</v>
      </c>
      <c r="C41" s="20" t="s">
        <v>56</v>
      </c>
      <c r="D41" s="19" t="s">
        <v>163</v>
      </c>
      <c r="E41" s="1"/>
      <c r="F41" s="2"/>
      <c r="G41" s="2"/>
      <c r="H41" s="1"/>
      <c r="I41" s="2"/>
      <c r="J41" s="1"/>
      <c r="K41" s="2"/>
      <c r="L41" s="1"/>
      <c r="M41" s="2"/>
      <c r="N41" s="2"/>
      <c r="O41" s="3"/>
      <c r="P41" s="2"/>
      <c r="Q41" s="2"/>
      <c r="R41" s="4"/>
      <c r="S41" s="5"/>
      <c r="T41" s="5"/>
      <c r="U41" s="1"/>
      <c r="V41" s="2"/>
      <c r="W41" s="8"/>
      <c r="X41" s="9"/>
      <c r="Y41" s="8"/>
      <c r="Z41" s="9"/>
      <c r="AA41" s="9"/>
      <c r="AB41" s="8"/>
      <c r="AC41" s="9"/>
      <c r="AD41" s="9"/>
      <c r="AE41" s="8"/>
      <c r="AF41" s="9"/>
      <c r="AG41" s="9"/>
      <c r="AH41" s="11"/>
      <c r="AI41" s="51"/>
    </row>
    <row r="42" spans="2:35" ht="24" customHeight="1" x14ac:dyDescent="0.45">
      <c r="B42" s="23">
        <v>36</v>
      </c>
      <c r="C42" s="20" t="s">
        <v>57</v>
      </c>
      <c r="D42" s="19" t="s">
        <v>164</v>
      </c>
      <c r="E42" s="1"/>
      <c r="F42" s="2"/>
      <c r="G42" s="2"/>
      <c r="H42" s="1"/>
      <c r="I42" s="2"/>
      <c r="J42" s="1"/>
      <c r="K42" s="2"/>
      <c r="L42" s="1"/>
      <c r="M42" s="2"/>
      <c r="N42" s="2"/>
      <c r="O42" s="3"/>
      <c r="P42" s="2"/>
      <c r="Q42" s="2"/>
      <c r="R42" s="4"/>
      <c r="S42" s="5"/>
      <c r="T42" s="5"/>
      <c r="U42" s="1"/>
      <c r="V42" s="2"/>
      <c r="W42" s="8"/>
      <c r="X42" s="9"/>
      <c r="Y42" s="8"/>
      <c r="Z42" s="9"/>
      <c r="AA42" s="9"/>
      <c r="AB42" s="8"/>
      <c r="AC42" s="9"/>
      <c r="AD42" s="9"/>
      <c r="AE42" s="8"/>
      <c r="AF42" s="9"/>
      <c r="AG42" s="9"/>
      <c r="AH42" s="11"/>
      <c r="AI42" s="51"/>
    </row>
    <row r="43" spans="2:35" ht="24" customHeight="1" x14ac:dyDescent="0.45">
      <c r="B43" s="23">
        <v>37</v>
      </c>
      <c r="C43" s="20" t="s">
        <v>58</v>
      </c>
      <c r="D43" s="19" t="s">
        <v>165</v>
      </c>
      <c r="E43" s="1"/>
      <c r="F43" s="2"/>
      <c r="G43" s="2"/>
      <c r="H43" s="1"/>
      <c r="I43" s="2"/>
      <c r="J43" s="1"/>
      <c r="K43" s="2"/>
      <c r="L43" s="1"/>
      <c r="M43" s="2"/>
      <c r="N43" s="2"/>
      <c r="O43" s="3"/>
      <c r="P43" s="2"/>
      <c r="Q43" s="2"/>
      <c r="R43" s="4"/>
      <c r="S43" s="5"/>
      <c r="T43" s="5"/>
      <c r="U43" s="1"/>
      <c r="V43" s="2"/>
      <c r="W43" s="8"/>
      <c r="X43" s="9"/>
      <c r="Y43" s="8"/>
      <c r="Z43" s="9"/>
      <c r="AA43" s="9"/>
      <c r="AB43" s="8"/>
      <c r="AC43" s="9"/>
      <c r="AD43" s="9"/>
      <c r="AE43" s="8"/>
      <c r="AF43" s="9"/>
      <c r="AG43" s="9"/>
      <c r="AH43" s="11"/>
      <c r="AI43" s="51"/>
    </row>
    <row r="44" spans="2:35" ht="24" customHeight="1" x14ac:dyDescent="0.45">
      <c r="B44" s="23">
        <v>38</v>
      </c>
      <c r="C44" s="20" t="s">
        <v>59</v>
      </c>
      <c r="D44" s="19" t="s">
        <v>166</v>
      </c>
      <c r="E44" s="1"/>
      <c r="F44" s="2"/>
      <c r="G44" s="2"/>
      <c r="H44" s="1"/>
      <c r="I44" s="2"/>
      <c r="J44" s="1"/>
      <c r="K44" s="2"/>
      <c r="L44" s="1"/>
      <c r="M44" s="2"/>
      <c r="N44" s="2"/>
      <c r="O44" s="3"/>
      <c r="P44" s="2"/>
      <c r="Q44" s="2"/>
      <c r="R44" s="4"/>
      <c r="S44" s="5"/>
      <c r="T44" s="5"/>
      <c r="U44" s="1"/>
      <c r="V44" s="2"/>
      <c r="W44" s="8"/>
      <c r="X44" s="9"/>
      <c r="Y44" s="8"/>
      <c r="Z44" s="9"/>
      <c r="AA44" s="9"/>
      <c r="AB44" s="8"/>
      <c r="AC44" s="9"/>
      <c r="AD44" s="9"/>
      <c r="AE44" s="8"/>
      <c r="AF44" s="9"/>
      <c r="AG44" s="9"/>
      <c r="AH44" s="11"/>
      <c r="AI44" s="51"/>
    </row>
    <row r="45" spans="2:35" ht="24" customHeight="1" x14ac:dyDescent="0.45">
      <c r="B45" s="23">
        <v>39</v>
      </c>
      <c r="C45" s="20" t="s">
        <v>60</v>
      </c>
      <c r="D45" s="19" t="s">
        <v>167</v>
      </c>
      <c r="E45" s="1"/>
      <c r="F45" s="2"/>
      <c r="G45" s="2"/>
      <c r="H45" s="1"/>
      <c r="I45" s="2"/>
      <c r="J45" s="1"/>
      <c r="K45" s="2"/>
      <c r="L45" s="1"/>
      <c r="M45" s="2"/>
      <c r="N45" s="2"/>
      <c r="O45" s="3"/>
      <c r="P45" s="2"/>
      <c r="Q45" s="2"/>
      <c r="R45" s="4"/>
      <c r="S45" s="5"/>
      <c r="T45" s="5"/>
      <c r="U45" s="1"/>
      <c r="V45" s="2"/>
      <c r="W45" s="8"/>
      <c r="X45" s="9"/>
      <c r="Y45" s="8"/>
      <c r="Z45" s="9"/>
      <c r="AA45" s="9"/>
      <c r="AB45" s="8"/>
      <c r="AC45" s="9"/>
      <c r="AD45" s="9"/>
      <c r="AE45" s="8"/>
      <c r="AF45" s="9"/>
      <c r="AG45" s="9"/>
      <c r="AH45" s="11"/>
      <c r="AI45" s="51"/>
    </row>
    <row r="46" spans="2:35" ht="24" customHeight="1" x14ac:dyDescent="0.45">
      <c r="B46" s="23">
        <v>40</v>
      </c>
      <c r="C46" s="20" t="s">
        <v>61</v>
      </c>
      <c r="D46" s="19" t="s">
        <v>168</v>
      </c>
      <c r="E46" s="1"/>
      <c r="F46" s="2"/>
      <c r="G46" s="2"/>
      <c r="H46" s="1"/>
      <c r="I46" s="2"/>
      <c r="J46" s="1"/>
      <c r="K46" s="2"/>
      <c r="L46" s="1"/>
      <c r="M46" s="2"/>
      <c r="N46" s="2"/>
      <c r="O46" s="3"/>
      <c r="P46" s="2"/>
      <c r="Q46" s="2"/>
      <c r="R46" s="4"/>
      <c r="S46" s="5"/>
      <c r="T46" s="5"/>
      <c r="U46" s="1"/>
      <c r="V46" s="2"/>
      <c r="W46" s="8"/>
      <c r="X46" s="9"/>
      <c r="Y46" s="8"/>
      <c r="Z46" s="9"/>
      <c r="AA46" s="9"/>
      <c r="AB46" s="8"/>
      <c r="AC46" s="9"/>
      <c r="AD46" s="9"/>
      <c r="AE46" s="8"/>
      <c r="AF46" s="9"/>
      <c r="AG46" s="9"/>
      <c r="AH46" s="11"/>
      <c r="AI46" s="51"/>
    </row>
    <row r="47" spans="2:35" ht="24" customHeight="1" x14ac:dyDescent="0.45">
      <c r="B47" s="23">
        <v>41</v>
      </c>
      <c r="C47" s="20" t="s">
        <v>62</v>
      </c>
      <c r="D47" s="19" t="s">
        <v>169</v>
      </c>
      <c r="E47" s="1"/>
      <c r="F47" s="2"/>
      <c r="G47" s="2"/>
      <c r="H47" s="1"/>
      <c r="I47" s="2"/>
      <c r="J47" s="1"/>
      <c r="K47" s="2"/>
      <c r="L47" s="1"/>
      <c r="M47" s="2"/>
      <c r="N47" s="2"/>
      <c r="O47" s="3"/>
      <c r="P47" s="2"/>
      <c r="Q47" s="2"/>
      <c r="R47" s="4"/>
      <c r="S47" s="5"/>
      <c r="T47" s="5"/>
      <c r="U47" s="1"/>
      <c r="V47" s="2"/>
      <c r="W47" s="8"/>
      <c r="X47" s="9"/>
      <c r="Y47" s="8"/>
      <c r="Z47" s="9"/>
      <c r="AA47" s="9"/>
      <c r="AB47" s="8"/>
      <c r="AC47" s="9"/>
      <c r="AD47" s="9"/>
      <c r="AE47" s="8"/>
      <c r="AF47" s="9"/>
      <c r="AG47" s="9"/>
      <c r="AH47" s="11"/>
      <c r="AI47" s="51"/>
    </row>
    <row r="48" spans="2:35" ht="24" customHeight="1" x14ac:dyDescent="0.45">
      <c r="B48" s="23">
        <v>42</v>
      </c>
      <c r="C48" s="20" t="s">
        <v>63</v>
      </c>
      <c r="D48" s="19" t="s">
        <v>170</v>
      </c>
      <c r="E48" s="1"/>
      <c r="F48" s="2"/>
      <c r="G48" s="2"/>
      <c r="H48" s="1"/>
      <c r="I48" s="2"/>
      <c r="J48" s="1"/>
      <c r="K48" s="2"/>
      <c r="L48" s="1"/>
      <c r="M48" s="2"/>
      <c r="N48" s="2"/>
      <c r="O48" s="3"/>
      <c r="P48" s="2"/>
      <c r="Q48" s="2"/>
      <c r="R48" s="4"/>
      <c r="S48" s="5"/>
      <c r="T48" s="5"/>
      <c r="U48" s="1"/>
      <c r="V48" s="2"/>
      <c r="W48" s="8"/>
      <c r="X48" s="9"/>
      <c r="Y48" s="8"/>
      <c r="Z48" s="9"/>
      <c r="AA48" s="9"/>
      <c r="AB48" s="8"/>
      <c r="AC48" s="9"/>
      <c r="AD48" s="9"/>
      <c r="AE48" s="8"/>
      <c r="AF48" s="9"/>
      <c r="AG48" s="9"/>
      <c r="AH48" s="11"/>
      <c r="AI48" s="51"/>
    </row>
    <row r="49" spans="2:35" ht="24" customHeight="1" x14ac:dyDescent="0.45">
      <c r="B49" s="23">
        <v>43</v>
      </c>
      <c r="C49" s="20" t="s">
        <v>64</v>
      </c>
      <c r="D49" s="19" t="s">
        <v>171</v>
      </c>
      <c r="E49" s="1"/>
      <c r="F49" s="2"/>
      <c r="G49" s="2"/>
      <c r="H49" s="1"/>
      <c r="I49" s="2"/>
      <c r="J49" s="1"/>
      <c r="K49" s="2"/>
      <c r="L49" s="1"/>
      <c r="M49" s="2"/>
      <c r="N49" s="2"/>
      <c r="O49" s="3"/>
      <c r="P49" s="2"/>
      <c r="Q49" s="2"/>
      <c r="R49" s="4"/>
      <c r="S49" s="5"/>
      <c r="T49" s="5"/>
      <c r="U49" s="1"/>
      <c r="V49" s="2"/>
      <c r="W49" s="8"/>
      <c r="X49" s="9"/>
      <c r="Y49" s="8"/>
      <c r="Z49" s="9"/>
      <c r="AA49" s="9"/>
      <c r="AB49" s="8"/>
      <c r="AC49" s="9"/>
      <c r="AD49" s="9"/>
      <c r="AE49" s="8"/>
      <c r="AF49" s="9"/>
      <c r="AG49" s="9"/>
      <c r="AH49" s="11"/>
      <c r="AI49" s="51"/>
    </row>
    <row r="50" spans="2:35" ht="24" customHeight="1" x14ac:dyDescent="0.45">
      <c r="B50" s="23">
        <v>44</v>
      </c>
      <c r="C50" s="20" t="s">
        <v>65</v>
      </c>
      <c r="D50" s="19" t="s">
        <v>172</v>
      </c>
      <c r="E50" s="1"/>
      <c r="F50" s="2"/>
      <c r="G50" s="2"/>
      <c r="H50" s="1"/>
      <c r="I50" s="2"/>
      <c r="J50" s="1"/>
      <c r="K50" s="2"/>
      <c r="L50" s="1"/>
      <c r="M50" s="2"/>
      <c r="N50" s="2"/>
      <c r="O50" s="3"/>
      <c r="P50" s="2"/>
      <c r="Q50" s="2"/>
      <c r="R50" s="4"/>
      <c r="S50" s="5"/>
      <c r="T50" s="5"/>
      <c r="U50" s="1"/>
      <c r="V50" s="2"/>
      <c r="W50" s="8"/>
      <c r="X50" s="9"/>
      <c r="Y50" s="8"/>
      <c r="Z50" s="9"/>
      <c r="AA50" s="9"/>
      <c r="AB50" s="8"/>
      <c r="AC50" s="9"/>
      <c r="AD50" s="9"/>
      <c r="AE50" s="8"/>
      <c r="AF50" s="9"/>
      <c r="AG50" s="9"/>
      <c r="AH50" s="11"/>
      <c r="AI50" s="51"/>
    </row>
    <row r="51" spans="2:35" ht="24" customHeight="1" x14ac:dyDescent="0.45">
      <c r="B51" s="23">
        <v>45</v>
      </c>
      <c r="C51" s="20" t="s">
        <v>66</v>
      </c>
      <c r="D51" s="19" t="s">
        <v>173</v>
      </c>
      <c r="E51" s="1"/>
      <c r="F51" s="2"/>
      <c r="G51" s="2"/>
      <c r="H51" s="1"/>
      <c r="I51" s="2"/>
      <c r="J51" s="1"/>
      <c r="K51" s="2"/>
      <c r="L51" s="1"/>
      <c r="M51" s="2"/>
      <c r="N51" s="2"/>
      <c r="O51" s="3"/>
      <c r="P51" s="2"/>
      <c r="Q51" s="2"/>
      <c r="R51" s="4"/>
      <c r="S51" s="5"/>
      <c r="T51" s="5"/>
      <c r="U51" s="1"/>
      <c r="V51" s="2"/>
      <c r="W51" s="8"/>
      <c r="X51" s="9"/>
      <c r="Y51" s="8"/>
      <c r="Z51" s="9"/>
      <c r="AA51" s="9"/>
      <c r="AB51" s="8"/>
      <c r="AC51" s="9"/>
      <c r="AD51" s="9"/>
      <c r="AE51" s="8"/>
      <c r="AF51" s="9"/>
      <c r="AG51" s="9"/>
      <c r="AH51" s="11"/>
      <c r="AI51" s="51"/>
    </row>
    <row r="52" spans="2:35" ht="24" customHeight="1" x14ac:dyDescent="0.45">
      <c r="B52" s="23">
        <v>46</v>
      </c>
      <c r="C52" s="20" t="s">
        <v>67</v>
      </c>
      <c r="D52" s="19" t="s">
        <v>174</v>
      </c>
      <c r="E52" s="1"/>
      <c r="F52" s="2"/>
      <c r="G52" s="2"/>
      <c r="H52" s="1"/>
      <c r="I52" s="2"/>
      <c r="J52" s="1"/>
      <c r="K52" s="2"/>
      <c r="L52" s="1"/>
      <c r="M52" s="2"/>
      <c r="N52" s="2"/>
      <c r="O52" s="3"/>
      <c r="P52" s="2"/>
      <c r="Q52" s="2"/>
      <c r="R52" s="4"/>
      <c r="S52" s="5"/>
      <c r="T52" s="5"/>
      <c r="U52" s="1"/>
      <c r="V52" s="2"/>
      <c r="W52" s="8"/>
      <c r="X52" s="9"/>
      <c r="Y52" s="8"/>
      <c r="Z52" s="9"/>
      <c r="AA52" s="9"/>
      <c r="AB52" s="8"/>
      <c r="AC52" s="9"/>
      <c r="AD52" s="9"/>
      <c r="AE52" s="8"/>
      <c r="AF52" s="9"/>
      <c r="AG52" s="9"/>
      <c r="AH52" s="11"/>
      <c r="AI52" s="51"/>
    </row>
    <row r="53" spans="2:35" ht="24" customHeight="1" x14ac:dyDescent="0.45">
      <c r="B53" s="23">
        <v>47</v>
      </c>
      <c r="C53" s="20" t="s">
        <v>68</v>
      </c>
      <c r="D53" s="19" t="s">
        <v>175</v>
      </c>
      <c r="E53" s="1"/>
      <c r="F53" s="2"/>
      <c r="G53" s="2"/>
      <c r="H53" s="1"/>
      <c r="I53" s="2"/>
      <c r="J53" s="1"/>
      <c r="K53" s="2"/>
      <c r="L53" s="1"/>
      <c r="M53" s="2"/>
      <c r="N53" s="2"/>
      <c r="O53" s="3"/>
      <c r="P53" s="2"/>
      <c r="Q53" s="2"/>
      <c r="R53" s="4"/>
      <c r="S53" s="5"/>
      <c r="T53" s="5"/>
      <c r="U53" s="1"/>
      <c r="V53" s="2"/>
      <c r="W53" s="8"/>
      <c r="X53" s="9"/>
      <c r="Y53" s="8"/>
      <c r="Z53" s="9"/>
      <c r="AA53" s="9"/>
      <c r="AB53" s="8"/>
      <c r="AC53" s="9"/>
      <c r="AD53" s="9"/>
      <c r="AE53" s="8"/>
      <c r="AF53" s="9"/>
      <c r="AG53" s="9"/>
      <c r="AH53" s="11"/>
      <c r="AI53" s="51"/>
    </row>
    <row r="54" spans="2:35" ht="24" customHeight="1" x14ac:dyDescent="0.45">
      <c r="B54" s="23">
        <v>48</v>
      </c>
      <c r="C54" s="20" t="s">
        <v>69</v>
      </c>
      <c r="D54" s="19" t="s">
        <v>176</v>
      </c>
      <c r="E54" s="1"/>
      <c r="F54" s="2"/>
      <c r="G54" s="2"/>
      <c r="H54" s="1"/>
      <c r="I54" s="2"/>
      <c r="J54" s="1"/>
      <c r="K54" s="2"/>
      <c r="L54" s="1"/>
      <c r="M54" s="2"/>
      <c r="N54" s="2"/>
      <c r="O54" s="3"/>
      <c r="P54" s="2"/>
      <c r="Q54" s="2"/>
      <c r="R54" s="4"/>
      <c r="S54" s="5"/>
      <c r="T54" s="5"/>
      <c r="U54" s="1"/>
      <c r="V54" s="2"/>
      <c r="W54" s="8"/>
      <c r="X54" s="9"/>
      <c r="Y54" s="8"/>
      <c r="Z54" s="9"/>
      <c r="AA54" s="9"/>
      <c r="AB54" s="8"/>
      <c r="AC54" s="9"/>
      <c r="AD54" s="9"/>
      <c r="AE54" s="8"/>
      <c r="AF54" s="9"/>
      <c r="AG54" s="9"/>
      <c r="AH54" s="11"/>
      <c r="AI54" s="51"/>
    </row>
    <row r="55" spans="2:35" ht="24" customHeight="1" x14ac:dyDescent="0.45">
      <c r="B55" s="23">
        <v>49</v>
      </c>
      <c r="C55" s="20" t="s">
        <v>70</v>
      </c>
      <c r="D55" s="19" t="s">
        <v>177</v>
      </c>
      <c r="E55" s="1"/>
      <c r="F55" s="2"/>
      <c r="G55" s="2"/>
      <c r="H55" s="1"/>
      <c r="I55" s="2"/>
      <c r="J55" s="1"/>
      <c r="K55" s="2"/>
      <c r="L55" s="1"/>
      <c r="M55" s="2"/>
      <c r="N55" s="2"/>
      <c r="O55" s="3"/>
      <c r="P55" s="2"/>
      <c r="Q55" s="2"/>
      <c r="R55" s="4"/>
      <c r="S55" s="5"/>
      <c r="T55" s="5"/>
      <c r="U55" s="1"/>
      <c r="V55" s="2"/>
      <c r="W55" s="8"/>
      <c r="X55" s="9"/>
      <c r="Y55" s="8"/>
      <c r="Z55" s="9"/>
      <c r="AA55" s="9"/>
      <c r="AB55" s="8"/>
      <c r="AC55" s="9"/>
      <c r="AD55" s="9"/>
      <c r="AE55" s="8"/>
      <c r="AF55" s="9"/>
      <c r="AG55" s="9"/>
      <c r="AH55" s="11"/>
      <c r="AI55" s="51"/>
    </row>
    <row r="56" spans="2:35" ht="24" customHeight="1" x14ac:dyDescent="0.45">
      <c r="B56" s="23">
        <v>50</v>
      </c>
      <c r="C56" s="20" t="s">
        <v>71</v>
      </c>
      <c r="D56" s="19" t="s">
        <v>178</v>
      </c>
      <c r="E56" s="1"/>
      <c r="F56" s="2"/>
      <c r="G56" s="2"/>
      <c r="H56" s="1"/>
      <c r="I56" s="2"/>
      <c r="J56" s="1"/>
      <c r="K56" s="2"/>
      <c r="L56" s="1"/>
      <c r="M56" s="2"/>
      <c r="N56" s="2"/>
      <c r="O56" s="3"/>
      <c r="P56" s="2"/>
      <c r="Q56" s="2"/>
      <c r="R56" s="4"/>
      <c r="S56" s="5"/>
      <c r="T56" s="5"/>
      <c r="U56" s="1"/>
      <c r="V56" s="2"/>
      <c r="W56" s="8"/>
      <c r="X56" s="9"/>
      <c r="Y56" s="8"/>
      <c r="Z56" s="9"/>
      <c r="AA56" s="9"/>
      <c r="AB56" s="8"/>
      <c r="AC56" s="9"/>
      <c r="AD56" s="9"/>
      <c r="AE56" s="8"/>
      <c r="AF56" s="9"/>
      <c r="AG56" s="9"/>
      <c r="AH56" s="11"/>
      <c r="AI56" s="51"/>
    </row>
    <row r="57" spans="2:35" ht="24" customHeight="1" x14ac:dyDescent="0.45">
      <c r="B57" s="23">
        <v>51</v>
      </c>
      <c r="C57" s="20" t="s">
        <v>72</v>
      </c>
      <c r="D57" s="19" t="s">
        <v>179</v>
      </c>
      <c r="E57" s="1"/>
      <c r="F57" s="2"/>
      <c r="G57" s="2"/>
      <c r="H57" s="1"/>
      <c r="I57" s="2"/>
      <c r="J57" s="1"/>
      <c r="K57" s="2"/>
      <c r="L57" s="1"/>
      <c r="M57" s="2"/>
      <c r="N57" s="2"/>
      <c r="O57" s="3"/>
      <c r="P57" s="2"/>
      <c r="Q57" s="2"/>
      <c r="R57" s="4"/>
      <c r="S57" s="5"/>
      <c r="T57" s="5"/>
      <c r="U57" s="1"/>
      <c r="V57" s="2"/>
      <c r="W57" s="8"/>
      <c r="X57" s="9"/>
      <c r="Y57" s="8"/>
      <c r="Z57" s="9"/>
      <c r="AA57" s="9"/>
      <c r="AB57" s="8"/>
      <c r="AC57" s="9"/>
      <c r="AD57" s="9"/>
      <c r="AE57" s="8"/>
      <c r="AF57" s="9"/>
      <c r="AG57" s="9"/>
      <c r="AH57" s="11"/>
      <c r="AI57" s="51"/>
    </row>
    <row r="58" spans="2:35" ht="24" customHeight="1" x14ac:dyDescent="0.45">
      <c r="B58" s="23">
        <v>52</v>
      </c>
      <c r="C58" s="20" t="s">
        <v>73</v>
      </c>
      <c r="D58" s="19" t="s">
        <v>180</v>
      </c>
      <c r="E58" s="1"/>
      <c r="F58" s="2"/>
      <c r="G58" s="2"/>
      <c r="H58" s="1"/>
      <c r="I58" s="2"/>
      <c r="J58" s="1"/>
      <c r="K58" s="2"/>
      <c r="L58" s="1"/>
      <c r="M58" s="2"/>
      <c r="N58" s="2"/>
      <c r="O58" s="3"/>
      <c r="P58" s="2"/>
      <c r="Q58" s="2"/>
      <c r="R58" s="4"/>
      <c r="S58" s="5"/>
      <c r="T58" s="5"/>
      <c r="U58" s="1"/>
      <c r="V58" s="2"/>
      <c r="W58" s="8"/>
      <c r="X58" s="9"/>
      <c r="Y58" s="8"/>
      <c r="Z58" s="9"/>
      <c r="AA58" s="9"/>
      <c r="AB58" s="8"/>
      <c r="AC58" s="9"/>
      <c r="AD58" s="9"/>
      <c r="AE58" s="8"/>
      <c r="AF58" s="9"/>
      <c r="AG58" s="9"/>
      <c r="AH58" s="11"/>
      <c r="AI58" s="51"/>
    </row>
    <row r="59" spans="2:35" ht="24" customHeight="1" x14ac:dyDescent="0.45">
      <c r="B59" s="23">
        <v>53</v>
      </c>
      <c r="C59" s="20" t="s">
        <v>74</v>
      </c>
      <c r="D59" s="19" t="s">
        <v>181</v>
      </c>
      <c r="E59" s="1"/>
      <c r="F59" s="2"/>
      <c r="G59" s="2"/>
      <c r="H59" s="1"/>
      <c r="I59" s="2"/>
      <c r="J59" s="1"/>
      <c r="K59" s="2"/>
      <c r="L59" s="1"/>
      <c r="M59" s="2"/>
      <c r="N59" s="2"/>
      <c r="O59" s="3"/>
      <c r="P59" s="2"/>
      <c r="Q59" s="2"/>
      <c r="R59" s="4"/>
      <c r="S59" s="5"/>
      <c r="T59" s="5"/>
      <c r="U59" s="1"/>
      <c r="V59" s="2"/>
      <c r="W59" s="8"/>
      <c r="X59" s="9"/>
      <c r="Y59" s="8"/>
      <c r="Z59" s="9"/>
      <c r="AA59" s="9"/>
      <c r="AB59" s="8"/>
      <c r="AC59" s="9"/>
      <c r="AD59" s="9"/>
      <c r="AE59" s="8"/>
      <c r="AF59" s="9"/>
      <c r="AG59" s="9"/>
      <c r="AH59" s="11"/>
      <c r="AI59" s="51"/>
    </row>
    <row r="60" spans="2:35" ht="24" customHeight="1" x14ac:dyDescent="0.45">
      <c r="B60" s="23">
        <v>54</v>
      </c>
      <c r="C60" s="20" t="s">
        <v>75</v>
      </c>
      <c r="D60" s="19" t="s">
        <v>182</v>
      </c>
      <c r="E60" s="1"/>
      <c r="F60" s="2"/>
      <c r="G60" s="2"/>
      <c r="H60" s="1"/>
      <c r="I60" s="2"/>
      <c r="J60" s="1"/>
      <c r="K60" s="2"/>
      <c r="L60" s="1"/>
      <c r="M60" s="2"/>
      <c r="N60" s="2"/>
      <c r="O60" s="3"/>
      <c r="P60" s="2"/>
      <c r="Q60" s="2"/>
      <c r="R60" s="4"/>
      <c r="S60" s="5"/>
      <c r="T60" s="5"/>
      <c r="U60" s="1"/>
      <c r="V60" s="2"/>
      <c r="W60" s="8"/>
      <c r="X60" s="9"/>
      <c r="Y60" s="8"/>
      <c r="Z60" s="9"/>
      <c r="AA60" s="9"/>
      <c r="AB60" s="8"/>
      <c r="AC60" s="9"/>
      <c r="AD60" s="9"/>
      <c r="AE60" s="8"/>
      <c r="AF60" s="9"/>
      <c r="AG60" s="9"/>
      <c r="AH60" s="11"/>
      <c r="AI60" s="51"/>
    </row>
    <row r="61" spans="2:35" ht="24" customHeight="1" x14ac:dyDescent="0.45">
      <c r="B61" s="23">
        <v>55</v>
      </c>
      <c r="C61" s="20" t="s">
        <v>76</v>
      </c>
      <c r="D61" s="19" t="s">
        <v>183</v>
      </c>
      <c r="E61" s="1"/>
      <c r="F61" s="2"/>
      <c r="G61" s="2"/>
      <c r="H61" s="1"/>
      <c r="I61" s="2"/>
      <c r="J61" s="1"/>
      <c r="K61" s="2"/>
      <c r="L61" s="1"/>
      <c r="M61" s="2"/>
      <c r="N61" s="2"/>
      <c r="O61" s="3"/>
      <c r="P61" s="2"/>
      <c r="Q61" s="2"/>
      <c r="R61" s="4"/>
      <c r="S61" s="5"/>
      <c r="T61" s="5"/>
      <c r="U61" s="1"/>
      <c r="V61" s="2"/>
      <c r="W61" s="8"/>
      <c r="X61" s="9"/>
      <c r="Y61" s="8"/>
      <c r="Z61" s="9"/>
      <c r="AA61" s="9"/>
      <c r="AB61" s="8"/>
      <c r="AC61" s="9"/>
      <c r="AD61" s="9"/>
      <c r="AE61" s="8"/>
      <c r="AF61" s="9"/>
      <c r="AG61" s="9"/>
      <c r="AH61" s="11"/>
      <c r="AI61" s="51"/>
    </row>
    <row r="62" spans="2:35" ht="24" customHeight="1" x14ac:dyDescent="0.45">
      <c r="B62" s="23">
        <v>56</v>
      </c>
      <c r="C62" s="20" t="s">
        <v>77</v>
      </c>
      <c r="D62" s="19" t="s">
        <v>184</v>
      </c>
      <c r="E62" s="1"/>
      <c r="F62" s="2"/>
      <c r="G62" s="2"/>
      <c r="H62" s="1"/>
      <c r="I62" s="2"/>
      <c r="J62" s="1"/>
      <c r="K62" s="2"/>
      <c r="L62" s="1"/>
      <c r="M62" s="2"/>
      <c r="N62" s="2"/>
      <c r="O62" s="3"/>
      <c r="P62" s="2"/>
      <c r="Q62" s="2"/>
      <c r="R62" s="4"/>
      <c r="S62" s="5"/>
      <c r="T62" s="5"/>
      <c r="U62" s="1"/>
      <c r="V62" s="2"/>
      <c r="W62" s="8"/>
      <c r="X62" s="9"/>
      <c r="Y62" s="8"/>
      <c r="Z62" s="9"/>
      <c r="AA62" s="9"/>
      <c r="AB62" s="8"/>
      <c r="AC62" s="9"/>
      <c r="AD62" s="9"/>
      <c r="AE62" s="8"/>
      <c r="AF62" s="9"/>
      <c r="AG62" s="9"/>
      <c r="AH62" s="11"/>
      <c r="AI62" s="51"/>
    </row>
    <row r="63" spans="2:35" ht="24" customHeight="1" x14ac:dyDescent="0.45">
      <c r="B63" s="23">
        <v>57</v>
      </c>
      <c r="C63" s="20" t="s">
        <v>78</v>
      </c>
      <c r="D63" s="19" t="s">
        <v>185</v>
      </c>
      <c r="E63" s="1"/>
      <c r="F63" s="2"/>
      <c r="G63" s="2"/>
      <c r="H63" s="1"/>
      <c r="I63" s="2"/>
      <c r="J63" s="1"/>
      <c r="K63" s="2"/>
      <c r="L63" s="1"/>
      <c r="M63" s="2"/>
      <c r="N63" s="2"/>
      <c r="O63" s="3"/>
      <c r="P63" s="2"/>
      <c r="Q63" s="2"/>
      <c r="R63" s="4"/>
      <c r="S63" s="5"/>
      <c r="T63" s="5"/>
      <c r="U63" s="1"/>
      <c r="V63" s="2"/>
      <c r="W63" s="8"/>
      <c r="X63" s="9"/>
      <c r="Y63" s="8"/>
      <c r="Z63" s="9"/>
      <c r="AA63" s="9"/>
      <c r="AB63" s="8"/>
      <c r="AC63" s="9"/>
      <c r="AD63" s="9"/>
      <c r="AE63" s="8"/>
      <c r="AF63" s="9"/>
      <c r="AG63" s="9"/>
      <c r="AH63" s="11"/>
      <c r="AI63" s="51"/>
    </row>
    <row r="64" spans="2:35" ht="24" customHeight="1" x14ac:dyDescent="0.45">
      <c r="B64" s="23">
        <v>58</v>
      </c>
      <c r="C64" s="20" t="s">
        <v>79</v>
      </c>
      <c r="D64" s="19" t="s">
        <v>186</v>
      </c>
      <c r="E64" s="1"/>
      <c r="F64" s="2"/>
      <c r="G64" s="2"/>
      <c r="H64" s="1"/>
      <c r="I64" s="2"/>
      <c r="J64" s="1"/>
      <c r="K64" s="2"/>
      <c r="L64" s="1"/>
      <c r="M64" s="2"/>
      <c r="N64" s="2"/>
      <c r="O64" s="3"/>
      <c r="P64" s="2"/>
      <c r="Q64" s="2"/>
      <c r="R64" s="4"/>
      <c r="S64" s="5"/>
      <c r="T64" s="5"/>
      <c r="U64" s="1"/>
      <c r="V64" s="2"/>
      <c r="W64" s="8"/>
      <c r="X64" s="9"/>
      <c r="Y64" s="8"/>
      <c r="Z64" s="9"/>
      <c r="AA64" s="9"/>
      <c r="AB64" s="8"/>
      <c r="AC64" s="9"/>
      <c r="AD64" s="9"/>
      <c r="AE64" s="8"/>
      <c r="AF64" s="9"/>
      <c r="AG64" s="9"/>
      <c r="AH64" s="11"/>
      <c r="AI64" s="51"/>
    </row>
    <row r="65" spans="2:35" ht="24" customHeight="1" x14ac:dyDescent="0.45">
      <c r="B65" s="23">
        <v>59</v>
      </c>
      <c r="C65" s="20" t="s">
        <v>80</v>
      </c>
      <c r="D65" s="19" t="s">
        <v>187</v>
      </c>
      <c r="E65" s="1"/>
      <c r="F65" s="2"/>
      <c r="G65" s="2"/>
      <c r="H65" s="1"/>
      <c r="I65" s="2"/>
      <c r="J65" s="1"/>
      <c r="K65" s="2"/>
      <c r="L65" s="1"/>
      <c r="M65" s="2"/>
      <c r="N65" s="2"/>
      <c r="O65" s="3"/>
      <c r="P65" s="2"/>
      <c r="Q65" s="2"/>
      <c r="R65" s="4"/>
      <c r="S65" s="5"/>
      <c r="T65" s="5"/>
      <c r="U65" s="1"/>
      <c r="V65" s="2"/>
      <c r="W65" s="8"/>
      <c r="X65" s="9"/>
      <c r="Y65" s="8"/>
      <c r="Z65" s="9"/>
      <c r="AA65" s="9"/>
      <c r="AB65" s="8"/>
      <c r="AC65" s="9"/>
      <c r="AD65" s="9"/>
      <c r="AE65" s="8"/>
      <c r="AF65" s="9"/>
      <c r="AG65" s="9"/>
      <c r="AH65" s="11"/>
      <c r="AI65" s="51"/>
    </row>
    <row r="66" spans="2:35" ht="24" customHeight="1" x14ac:dyDescent="0.45">
      <c r="B66" s="23">
        <v>60</v>
      </c>
      <c r="C66" s="20" t="s">
        <v>81</v>
      </c>
      <c r="D66" s="19" t="s">
        <v>188</v>
      </c>
      <c r="E66" s="1"/>
      <c r="F66" s="2"/>
      <c r="G66" s="2"/>
      <c r="H66" s="1"/>
      <c r="I66" s="2"/>
      <c r="J66" s="1"/>
      <c r="K66" s="2"/>
      <c r="L66" s="1"/>
      <c r="M66" s="2"/>
      <c r="N66" s="2"/>
      <c r="O66" s="3"/>
      <c r="P66" s="2"/>
      <c r="Q66" s="2"/>
      <c r="R66" s="4"/>
      <c r="S66" s="5"/>
      <c r="T66" s="5"/>
      <c r="U66" s="1"/>
      <c r="V66" s="2"/>
      <c r="W66" s="8"/>
      <c r="X66" s="9"/>
      <c r="Y66" s="8"/>
      <c r="Z66" s="9"/>
      <c r="AA66" s="9"/>
      <c r="AB66" s="8"/>
      <c r="AC66" s="9"/>
      <c r="AD66" s="9"/>
      <c r="AE66" s="8"/>
      <c r="AF66" s="9"/>
      <c r="AG66" s="9"/>
      <c r="AH66" s="11"/>
      <c r="AI66" s="51"/>
    </row>
    <row r="67" spans="2:35" ht="24" customHeight="1" x14ac:dyDescent="0.45">
      <c r="B67" s="23">
        <v>61</v>
      </c>
      <c r="C67" s="20" t="s">
        <v>82</v>
      </c>
      <c r="D67" s="19" t="s">
        <v>189</v>
      </c>
      <c r="E67" s="1"/>
      <c r="F67" s="2"/>
      <c r="G67" s="2"/>
      <c r="H67" s="1"/>
      <c r="I67" s="2"/>
      <c r="J67" s="1"/>
      <c r="K67" s="2"/>
      <c r="L67" s="1"/>
      <c r="M67" s="2"/>
      <c r="N67" s="2"/>
      <c r="O67" s="3"/>
      <c r="P67" s="2"/>
      <c r="Q67" s="2"/>
      <c r="R67" s="4"/>
      <c r="S67" s="5"/>
      <c r="T67" s="5"/>
      <c r="U67" s="1"/>
      <c r="V67" s="2"/>
      <c r="W67" s="8"/>
      <c r="X67" s="9"/>
      <c r="Y67" s="8"/>
      <c r="Z67" s="9"/>
      <c r="AA67" s="9"/>
      <c r="AB67" s="8"/>
      <c r="AC67" s="9"/>
      <c r="AD67" s="9"/>
      <c r="AE67" s="8"/>
      <c r="AF67" s="9"/>
      <c r="AG67" s="9"/>
      <c r="AH67" s="11"/>
      <c r="AI67" s="51"/>
    </row>
    <row r="68" spans="2:35" ht="24" customHeight="1" x14ac:dyDescent="0.45">
      <c r="B68" s="23">
        <v>62</v>
      </c>
      <c r="C68" s="20" t="s">
        <v>83</v>
      </c>
      <c r="D68" s="19" t="s">
        <v>190</v>
      </c>
      <c r="E68" s="1"/>
      <c r="F68" s="2"/>
      <c r="G68" s="2"/>
      <c r="H68" s="1"/>
      <c r="I68" s="2"/>
      <c r="J68" s="1"/>
      <c r="K68" s="2"/>
      <c r="L68" s="1"/>
      <c r="M68" s="2"/>
      <c r="N68" s="2"/>
      <c r="O68" s="3"/>
      <c r="P68" s="2"/>
      <c r="Q68" s="2"/>
      <c r="R68" s="4"/>
      <c r="S68" s="5"/>
      <c r="T68" s="5"/>
      <c r="U68" s="1"/>
      <c r="V68" s="2"/>
      <c r="W68" s="8"/>
      <c r="X68" s="9"/>
      <c r="Y68" s="8"/>
      <c r="Z68" s="9"/>
      <c r="AA68" s="9"/>
      <c r="AB68" s="8"/>
      <c r="AC68" s="9"/>
      <c r="AD68" s="9"/>
      <c r="AE68" s="8"/>
      <c r="AF68" s="9"/>
      <c r="AG68" s="9"/>
      <c r="AH68" s="11"/>
      <c r="AI68" s="51"/>
    </row>
    <row r="69" spans="2:35" ht="24" customHeight="1" x14ac:dyDescent="0.45">
      <c r="B69" s="23">
        <v>63</v>
      </c>
      <c r="C69" s="20" t="s">
        <v>84</v>
      </c>
      <c r="D69" s="19" t="s">
        <v>191</v>
      </c>
      <c r="E69" s="1"/>
      <c r="F69" s="2"/>
      <c r="G69" s="2"/>
      <c r="H69" s="1"/>
      <c r="I69" s="2"/>
      <c r="J69" s="1"/>
      <c r="K69" s="2"/>
      <c r="L69" s="1"/>
      <c r="M69" s="2"/>
      <c r="N69" s="2"/>
      <c r="O69" s="3"/>
      <c r="P69" s="2"/>
      <c r="Q69" s="2"/>
      <c r="R69" s="4"/>
      <c r="S69" s="5"/>
      <c r="T69" s="5"/>
      <c r="U69" s="1"/>
      <c r="V69" s="2"/>
      <c r="W69" s="8"/>
      <c r="X69" s="9"/>
      <c r="Y69" s="8"/>
      <c r="Z69" s="9"/>
      <c r="AA69" s="9"/>
      <c r="AB69" s="8"/>
      <c r="AC69" s="9"/>
      <c r="AD69" s="9"/>
      <c r="AE69" s="8"/>
      <c r="AF69" s="9"/>
      <c r="AG69" s="9"/>
      <c r="AH69" s="11"/>
      <c r="AI69" s="51"/>
    </row>
    <row r="70" spans="2:35" ht="24" customHeight="1" x14ac:dyDescent="0.45">
      <c r="B70" s="23">
        <v>64</v>
      </c>
      <c r="C70" s="20" t="s">
        <v>85</v>
      </c>
      <c r="D70" s="19" t="s">
        <v>192</v>
      </c>
      <c r="E70" s="1"/>
      <c r="F70" s="2"/>
      <c r="G70" s="2"/>
      <c r="H70" s="1"/>
      <c r="I70" s="2"/>
      <c r="J70" s="1"/>
      <c r="K70" s="2"/>
      <c r="L70" s="1"/>
      <c r="M70" s="2"/>
      <c r="N70" s="2"/>
      <c r="O70" s="3"/>
      <c r="P70" s="2"/>
      <c r="Q70" s="2"/>
      <c r="R70" s="4"/>
      <c r="S70" s="5"/>
      <c r="T70" s="5"/>
      <c r="U70" s="1"/>
      <c r="V70" s="2"/>
      <c r="W70" s="8"/>
      <c r="X70" s="9"/>
      <c r="Y70" s="8"/>
      <c r="Z70" s="9"/>
      <c r="AA70" s="9"/>
      <c r="AB70" s="8"/>
      <c r="AC70" s="9"/>
      <c r="AD70" s="9"/>
      <c r="AE70" s="8"/>
      <c r="AF70" s="9"/>
      <c r="AG70" s="9"/>
      <c r="AH70" s="11"/>
      <c r="AI70" s="51"/>
    </row>
    <row r="71" spans="2:35" ht="24" customHeight="1" x14ac:dyDescent="0.45">
      <c r="B71" s="23">
        <v>65</v>
      </c>
      <c r="C71" s="20" t="s">
        <v>86</v>
      </c>
      <c r="D71" s="19" t="s">
        <v>193</v>
      </c>
      <c r="E71" s="1"/>
      <c r="F71" s="2"/>
      <c r="G71" s="2"/>
      <c r="H71" s="1"/>
      <c r="I71" s="2"/>
      <c r="J71" s="1"/>
      <c r="K71" s="2"/>
      <c r="L71" s="1"/>
      <c r="M71" s="2"/>
      <c r="N71" s="2"/>
      <c r="O71" s="3"/>
      <c r="P71" s="2"/>
      <c r="Q71" s="2"/>
      <c r="R71" s="4"/>
      <c r="S71" s="5"/>
      <c r="T71" s="5"/>
      <c r="U71" s="1"/>
      <c r="V71" s="2"/>
      <c r="W71" s="8"/>
      <c r="X71" s="9"/>
      <c r="Y71" s="8"/>
      <c r="Z71" s="9"/>
      <c r="AA71" s="9"/>
      <c r="AB71" s="8"/>
      <c r="AC71" s="9"/>
      <c r="AD71" s="9"/>
      <c r="AE71" s="8"/>
      <c r="AF71" s="9"/>
      <c r="AG71" s="9"/>
      <c r="AH71" s="11"/>
      <c r="AI71" s="51"/>
    </row>
    <row r="72" spans="2:35" ht="24" customHeight="1" x14ac:dyDescent="0.45">
      <c r="B72" s="23">
        <v>66</v>
      </c>
      <c r="C72" s="20" t="s">
        <v>87</v>
      </c>
      <c r="D72" s="19" t="s">
        <v>194</v>
      </c>
      <c r="E72" s="1"/>
      <c r="F72" s="2"/>
      <c r="G72" s="2"/>
      <c r="H72" s="1"/>
      <c r="I72" s="2"/>
      <c r="J72" s="1"/>
      <c r="K72" s="2"/>
      <c r="L72" s="1"/>
      <c r="M72" s="2"/>
      <c r="N72" s="2"/>
      <c r="O72" s="3"/>
      <c r="P72" s="2"/>
      <c r="Q72" s="2"/>
      <c r="R72" s="4"/>
      <c r="S72" s="5"/>
      <c r="T72" s="5"/>
      <c r="U72" s="1"/>
      <c r="V72" s="2"/>
      <c r="W72" s="8"/>
      <c r="X72" s="9"/>
      <c r="Y72" s="8"/>
      <c r="Z72" s="9"/>
      <c r="AA72" s="9"/>
      <c r="AB72" s="8"/>
      <c r="AC72" s="9"/>
      <c r="AD72" s="9"/>
      <c r="AE72" s="8"/>
      <c r="AF72" s="9"/>
      <c r="AG72" s="9"/>
      <c r="AH72" s="11"/>
      <c r="AI72" s="51"/>
    </row>
    <row r="73" spans="2:35" ht="24" customHeight="1" x14ac:dyDescent="0.45">
      <c r="B73" s="23">
        <v>67</v>
      </c>
      <c r="C73" s="20" t="s">
        <v>88</v>
      </c>
      <c r="D73" s="19" t="s">
        <v>195</v>
      </c>
      <c r="E73" s="1"/>
      <c r="F73" s="2"/>
      <c r="G73" s="2"/>
      <c r="H73" s="1"/>
      <c r="I73" s="2"/>
      <c r="J73" s="1"/>
      <c r="K73" s="2"/>
      <c r="L73" s="1"/>
      <c r="M73" s="2"/>
      <c r="N73" s="2"/>
      <c r="O73" s="3"/>
      <c r="P73" s="2"/>
      <c r="Q73" s="2"/>
      <c r="R73" s="4"/>
      <c r="S73" s="5"/>
      <c r="T73" s="5"/>
      <c r="U73" s="1"/>
      <c r="V73" s="2"/>
      <c r="W73" s="8"/>
      <c r="X73" s="9"/>
      <c r="Y73" s="8"/>
      <c r="Z73" s="9"/>
      <c r="AA73" s="9"/>
      <c r="AB73" s="8"/>
      <c r="AC73" s="9"/>
      <c r="AD73" s="9"/>
      <c r="AE73" s="8"/>
      <c r="AF73" s="9"/>
      <c r="AG73" s="9"/>
      <c r="AH73" s="11"/>
      <c r="AI73" s="51"/>
    </row>
    <row r="74" spans="2:35" ht="24" customHeight="1" x14ac:dyDescent="0.45">
      <c r="B74" s="23">
        <v>68</v>
      </c>
      <c r="C74" s="20" t="s">
        <v>89</v>
      </c>
      <c r="D74" s="19" t="s">
        <v>196</v>
      </c>
      <c r="E74" s="1"/>
      <c r="F74" s="2"/>
      <c r="G74" s="2"/>
      <c r="H74" s="1"/>
      <c r="I74" s="2"/>
      <c r="J74" s="1"/>
      <c r="K74" s="2"/>
      <c r="L74" s="1"/>
      <c r="M74" s="2"/>
      <c r="N74" s="2"/>
      <c r="O74" s="3"/>
      <c r="P74" s="2"/>
      <c r="Q74" s="2"/>
      <c r="R74" s="4"/>
      <c r="S74" s="5"/>
      <c r="T74" s="5"/>
      <c r="U74" s="1"/>
      <c r="V74" s="2"/>
      <c r="W74" s="8"/>
      <c r="X74" s="9"/>
      <c r="Y74" s="8"/>
      <c r="Z74" s="9"/>
      <c r="AA74" s="9"/>
      <c r="AB74" s="8"/>
      <c r="AC74" s="9"/>
      <c r="AD74" s="9"/>
      <c r="AE74" s="8"/>
      <c r="AF74" s="9"/>
      <c r="AG74" s="9"/>
      <c r="AH74" s="11"/>
      <c r="AI74" s="51"/>
    </row>
    <row r="75" spans="2:35" ht="24" customHeight="1" x14ac:dyDescent="0.45">
      <c r="B75" s="23">
        <v>69</v>
      </c>
      <c r="C75" s="20" t="s">
        <v>90</v>
      </c>
      <c r="D75" s="19" t="s">
        <v>197</v>
      </c>
      <c r="E75" s="1"/>
      <c r="F75" s="2"/>
      <c r="G75" s="2"/>
      <c r="H75" s="1"/>
      <c r="I75" s="2"/>
      <c r="J75" s="1"/>
      <c r="K75" s="2"/>
      <c r="L75" s="1"/>
      <c r="M75" s="2"/>
      <c r="N75" s="2"/>
      <c r="O75" s="3"/>
      <c r="P75" s="2"/>
      <c r="Q75" s="2"/>
      <c r="R75" s="4"/>
      <c r="S75" s="5"/>
      <c r="T75" s="5"/>
      <c r="U75" s="1"/>
      <c r="V75" s="2"/>
      <c r="W75" s="8"/>
      <c r="X75" s="9"/>
      <c r="Y75" s="8"/>
      <c r="Z75" s="9"/>
      <c r="AA75" s="9"/>
      <c r="AB75" s="8"/>
      <c r="AC75" s="9"/>
      <c r="AD75" s="9"/>
      <c r="AE75" s="8"/>
      <c r="AF75" s="9"/>
      <c r="AG75" s="9"/>
      <c r="AH75" s="11"/>
      <c r="AI75" s="51"/>
    </row>
    <row r="76" spans="2:35" ht="24" customHeight="1" x14ac:dyDescent="0.45">
      <c r="B76" s="23">
        <v>70</v>
      </c>
      <c r="C76" s="20" t="s">
        <v>91</v>
      </c>
      <c r="D76" s="19" t="s">
        <v>198</v>
      </c>
      <c r="E76" s="1"/>
      <c r="F76" s="2"/>
      <c r="G76" s="2"/>
      <c r="H76" s="1"/>
      <c r="I76" s="2"/>
      <c r="J76" s="1"/>
      <c r="K76" s="2"/>
      <c r="L76" s="1"/>
      <c r="M76" s="2"/>
      <c r="N76" s="2"/>
      <c r="O76" s="3"/>
      <c r="P76" s="2"/>
      <c r="Q76" s="2"/>
      <c r="R76" s="4"/>
      <c r="S76" s="5"/>
      <c r="T76" s="5"/>
      <c r="U76" s="1"/>
      <c r="V76" s="2"/>
      <c r="W76" s="8"/>
      <c r="X76" s="9"/>
      <c r="Y76" s="8"/>
      <c r="Z76" s="9"/>
      <c r="AA76" s="9"/>
      <c r="AB76" s="8"/>
      <c r="AC76" s="9"/>
      <c r="AD76" s="9"/>
      <c r="AE76" s="8"/>
      <c r="AF76" s="9"/>
      <c r="AG76" s="9"/>
      <c r="AH76" s="11"/>
      <c r="AI76" s="51"/>
    </row>
    <row r="77" spans="2:35" ht="24" customHeight="1" x14ac:dyDescent="0.45">
      <c r="B77" s="23">
        <v>71</v>
      </c>
      <c r="C77" s="20" t="s">
        <v>92</v>
      </c>
      <c r="D77" s="19" t="s">
        <v>199</v>
      </c>
      <c r="E77" s="1"/>
      <c r="F77" s="2"/>
      <c r="G77" s="2"/>
      <c r="H77" s="1"/>
      <c r="I77" s="2"/>
      <c r="J77" s="1"/>
      <c r="K77" s="2"/>
      <c r="L77" s="1"/>
      <c r="M77" s="2"/>
      <c r="N77" s="2"/>
      <c r="O77" s="3"/>
      <c r="P77" s="2"/>
      <c r="Q77" s="2"/>
      <c r="R77" s="4"/>
      <c r="S77" s="5"/>
      <c r="T77" s="5"/>
      <c r="U77" s="1"/>
      <c r="V77" s="2"/>
      <c r="W77" s="8"/>
      <c r="X77" s="9"/>
      <c r="Y77" s="8"/>
      <c r="Z77" s="9"/>
      <c r="AA77" s="9"/>
      <c r="AB77" s="8"/>
      <c r="AC77" s="9"/>
      <c r="AD77" s="9"/>
      <c r="AE77" s="8"/>
      <c r="AF77" s="9"/>
      <c r="AG77" s="9"/>
      <c r="AH77" s="11"/>
      <c r="AI77" s="51"/>
    </row>
    <row r="78" spans="2:35" ht="24" customHeight="1" x14ac:dyDescent="0.45">
      <c r="B78" s="23">
        <v>72</v>
      </c>
      <c r="C78" s="20" t="s">
        <v>93</v>
      </c>
      <c r="D78" s="19" t="s">
        <v>200</v>
      </c>
      <c r="E78" s="1"/>
      <c r="F78" s="2"/>
      <c r="G78" s="2"/>
      <c r="H78" s="1"/>
      <c r="I78" s="2"/>
      <c r="J78" s="1"/>
      <c r="K78" s="2"/>
      <c r="L78" s="1"/>
      <c r="M78" s="2"/>
      <c r="N78" s="2"/>
      <c r="O78" s="3"/>
      <c r="P78" s="2"/>
      <c r="Q78" s="2"/>
      <c r="R78" s="4"/>
      <c r="S78" s="5"/>
      <c r="T78" s="5"/>
      <c r="U78" s="1"/>
      <c r="V78" s="2"/>
      <c r="W78" s="8"/>
      <c r="X78" s="9"/>
      <c r="Y78" s="8"/>
      <c r="Z78" s="9"/>
      <c r="AA78" s="9"/>
      <c r="AB78" s="8"/>
      <c r="AC78" s="9"/>
      <c r="AD78" s="9"/>
      <c r="AE78" s="8"/>
      <c r="AF78" s="9"/>
      <c r="AG78" s="9"/>
      <c r="AH78" s="11"/>
      <c r="AI78" s="51"/>
    </row>
    <row r="79" spans="2:35" ht="24" customHeight="1" x14ac:dyDescent="0.45">
      <c r="B79" s="23">
        <v>73</v>
      </c>
      <c r="C79" s="20" t="s">
        <v>94</v>
      </c>
      <c r="D79" s="19" t="s">
        <v>201</v>
      </c>
      <c r="E79" s="1"/>
      <c r="F79" s="2"/>
      <c r="G79" s="2"/>
      <c r="H79" s="1"/>
      <c r="I79" s="2"/>
      <c r="J79" s="1"/>
      <c r="K79" s="2"/>
      <c r="L79" s="1"/>
      <c r="M79" s="2"/>
      <c r="N79" s="2"/>
      <c r="O79" s="3"/>
      <c r="P79" s="2"/>
      <c r="Q79" s="2"/>
      <c r="R79" s="4"/>
      <c r="S79" s="5"/>
      <c r="T79" s="5"/>
      <c r="U79" s="1"/>
      <c r="V79" s="2"/>
      <c r="W79" s="8"/>
      <c r="X79" s="9"/>
      <c r="Y79" s="8"/>
      <c r="Z79" s="9"/>
      <c r="AA79" s="9"/>
      <c r="AB79" s="8"/>
      <c r="AC79" s="9"/>
      <c r="AD79" s="9"/>
      <c r="AE79" s="8"/>
      <c r="AF79" s="9"/>
      <c r="AG79" s="9"/>
      <c r="AH79" s="11"/>
      <c r="AI79" s="51"/>
    </row>
    <row r="80" spans="2:35" ht="24" customHeight="1" x14ac:dyDescent="0.45">
      <c r="B80" s="23">
        <v>74</v>
      </c>
      <c r="C80" s="20" t="s">
        <v>95</v>
      </c>
      <c r="D80" s="19" t="s">
        <v>202</v>
      </c>
      <c r="E80" s="1"/>
      <c r="F80" s="2"/>
      <c r="G80" s="2"/>
      <c r="H80" s="1"/>
      <c r="I80" s="2"/>
      <c r="J80" s="1"/>
      <c r="K80" s="2"/>
      <c r="L80" s="1"/>
      <c r="M80" s="2"/>
      <c r="N80" s="2"/>
      <c r="O80" s="3"/>
      <c r="P80" s="2"/>
      <c r="Q80" s="2"/>
      <c r="R80" s="4"/>
      <c r="S80" s="5"/>
      <c r="T80" s="5"/>
      <c r="U80" s="1"/>
      <c r="V80" s="2"/>
      <c r="W80" s="8"/>
      <c r="X80" s="9"/>
      <c r="Y80" s="8"/>
      <c r="Z80" s="9"/>
      <c r="AA80" s="9"/>
      <c r="AB80" s="8"/>
      <c r="AC80" s="9"/>
      <c r="AD80" s="9"/>
      <c r="AE80" s="8"/>
      <c r="AF80" s="9"/>
      <c r="AG80" s="9"/>
      <c r="AH80" s="11"/>
      <c r="AI80" s="51"/>
    </row>
    <row r="81" spans="2:35" ht="24" customHeight="1" x14ac:dyDescent="0.45">
      <c r="B81" s="23">
        <v>75</v>
      </c>
      <c r="C81" s="20" t="s">
        <v>96</v>
      </c>
      <c r="D81" s="19" t="s">
        <v>203</v>
      </c>
      <c r="E81" s="1"/>
      <c r="F81" s="2"/>
      <c r="G81" s="2"/>
      <c r="H81" s="1"/>
      <c r="I81" s="2"/>
      <c r="J81" s="1"/>
      <c r="K81" s="2"/>
      <c r="L81" s="1"/>
      <c r="M81" s="2"/>
      <c r="N81" s="2"/>
      <c r="O81" s="3"/>
      <c r="P81" s="2"/>
      <c r="Q81" s="2"/>
      <c r="R81" s="4"/>
      <c r="S81" s="5"/>
      <c r="T81" s="5"/>
      <c r="U81" s="1"/>
      <c r="V81" s="2"/>
      <c r="W81" s="8"/>
      <c r="X81" s="9"/>
      <c r="Y81" s="8"/>
      <c r="Z81" s="9"/>
      <c r="AA81" s="9"/>
      <c r="AB81" s="8"/>
      <c r="AC81" s="9"/>
      <c r="AD81" s="9"/>
      <c r="AE81" s="8"/>
      <c r="AF81" s="9"/>
      <c r="AG81" s="9"/>
      <c r="AH81" s="11"/>
      <c r="AI81" s="51"/>
    </row>
    <row r="82" spans="2:35" ht="24" customHeight="1" x14ac:dyDescent="0.45">
      <c r="B82" s="23">
        <v>76</v>
      </c>
      <c r="C82" s="20" t="s">
        <v>97</v>
      </c>
      <c r="D82" s="19" t="s">
        <v>204</v>
      </c>
      <c r="E82" s="1"/>
      <c r="F82" s="2"/>
      <c r="G82" s="2"/>
      <c r="H82" s="1"/>
      <c r="I82" s="2"/>
      <c r="J82" s="1"/>
      <c r="K82" s="2"/>
      <c r="L82" s="1"/>
      <c r="M82" s="2"/>
      <c r="N82" s="2"/>
      <c r="O82" s="3"/>
      <c r="P82" s="2"/>
      <c r="Q82" s="2"/>
      <c r="R82" s="4"/>
      <c r="S82" s="5"/>
      <c r="T82" s="5"/>
      <c r="U82" s="1"/>
      <c r="V82" s="2"/>
      <c r="W82" s="8"/>
      <c r="X82" s="9"/>
      <c r="Y82" s="8"/>
      <c r="Z82" s="9"/>
      <c r="AA82" s="9"/>
      <c r="AB82" s="8"/>
      <c r="AC82" s="9"/>
      <c r="AD82" s="9"/>
      <c r="AE82" s="8"/>
      <c r="AF82" s="9"/>
      <c r="AG82" s="9"/>
      <c r="AH82" s="11"/>
      <c r="AI82" s="51"/>
    </row>
    <row r="83" spans="2:35" ht="24" customHeight="1" x14ac:dyDescent="0.45">
      <c r="B83" s="23">
        <v>77</v>
      </c>
      <c r="C83" s="20" t="s">
        <v>98</v>
      </c>
      <c r="D83" s="19" t="s">
        <v>205</v>
      </c>
      <c r="E83" s="1"/>
      <c r="F83" s="2"/>
      <c r="G83" s="2"/>
      <c r="H83" s="1"/>
      <c r="I83" s="2"/>
      <c r="J83" s="1"/>
      <c r="K83" s="2"/>
      <c r="L83" s="1"/>
      <c r="M83" s="2"/>
      <c r="N83" s="2"/>
      <c r="O83" s="3"/>
      <c r="P83" s="2"/>
      <c r="Q83" s="2"/>
      <c r="R83" s="4"/>
      <c r="S83" s="5"/>
      <c r="T83" s="5"/>
      <c r="U83" s="1"/>
      <c r="V83" s="2"/>
      <c r="W83" s="8"/>
      <c r="X83" s="9"/>
      <c r="Y83" s="8"/>
      <c r="Z83" s="9"/>
      <c r="AA83" s="9"/>
      <c r="AB83" s="8"/>
      <c r="AC83" s="9"/>
      <c r="AD83" s="9"/>
      <c r="AE83" s="8"/>
      <c r="AF83" s="9"/>
      <c r="AG83" s="9"/>
      <c r="AH83" s="11"/>
      <c r="AI83" s="51"/>
    </row>
    <row r="84" spans="2:35" ht="24" customHeight="1" x14ac:dyDescent="0.45">
      <c r="B84" s="23">
        <v>78</v>
      </c>
      <c r="C84" s="20" t="s">
        <v>99</v>
      </c>
      <c r="D84" s="19" t="s">
        <v>206</v>
      </c>
      <c r="E84" s="1"/>
      <c r="F84" s="2"/>
      <c r="G84" s="2"/>
      <c r="H84" s="1"/>
      <c r="I84" s="2"/>
      <c r="J84" s="1"/>
      <c r="K84" s="2"/>
      <c r="L84" s="1"/>
      <c r="M84" s="2"/>
      <c r="N84" s="2"/>
      <c r="O84" s="3"/>
      <c r="P84" s="2"/>
      <c r="Q84" s="2"/>
      <c r="R84" s="4"/>
      <c r="S84" s="5"/>
      <c r="T84" s="5"/>
      <c r="U84" s="1"/>
      <c r="V84" s="2"/>
      <c r="W84" s="8"/>
      <c r="X84" s="9"/>
      <c r="Y84" s="8"/>
      <c r="Z84" s="9"/>
      <c r="AA84" s="9"/>
      <c r="AB84" s="8"/>
      <c r="AC84" s="9"/>
      <c r="AD84" s="9"/>
      <c r="AE84" s="8"/>
      <c r="AF84" s="9"/>
      <c r="AG84" s="9"/>
      <c r="AH84" s="11"/>
      <c r="AI84" s="51"/>
    </row>
    <row r="85" spans="2:35" ht="24" customHeight="1" x14ac:dyDescent="0.45">
      <c r="B85" s="23">
        <v>79</v>
      </c>
      <c r="C85" s="20" t="s">
        <v>100</v>
      </c>
      <c r="D85" s="19" t="s">
        <v>207</v>
      </c>
      <c r="E85" s="1"/>
      <c r="F85" s="2"/>
      <c r="G85" s="2"/>
      <c r="H85" s="1"/>
      <c r="I85" s="2"/>
      <c r="J85" s="1"/>
      <c r="K85" s="2"/>
      <c r="L85" s="1"/>
      <c r="M85" s="2"/>
      <c r="N85" s="2"/>
      <c r="O85" s="3"/>
      <c r="P85" s="2"/>
      <c r="Q85" s="2"/>
      <c r="R85" s="4"/>
      <c r="S85" s="5"/>
      <c r="T85" s="5"/>
      <c r="U85" s="1"/>
      <c r="V85" s="2"/>
      <c r="W85" s="8"/>
      <c r="X85" s="9"/>
      <c r="Y85" s="8"/>
      <c r="Z85" s="9"/>
      <c r="AA85" s="9"/>
      <c r="AB85" s="8"/>
      <c r="AC85" s="9"/>
      <c r="AD85" s="9"/>
      <c r="AE85" s="8"/>
      <c r="AF85" s="9"/>
      <c r="AG85" s="9"/>
      <c r="AH85" s="11"/>
      <c r="AI85" s="51"/>
    </row>
    <row r="86" spans="2:35" ht="24" customHeight="1" x14ac:dyDescent="0.45">
      <c r="B86" s="23">
        <v>80</v>
      </c>
      <c r="C86" s="20" t="s">
        <v>101</v>
      </c>
      <c r="D86" s="19" t="s">
        <v>208</v>
      </c>
      <c r="E86" s="1"/>
      <c r="F86" s="2"/>
      <c r="G86" s="2"/>
      <c r="H86" s="1"/>
      <c r="I86" s="2"/>
      <c r="J86" s="1"/>
      <c r="K86" s="2"/>
      <c r="L86" s="1"/>
      <c r="M86" s="2"/>
      <c r="N86" s="2"/>
      <c r="O86" s="3"/>
      <c r="P86" s="2"/>
      <c r="Q86" s="2"/>
      <c r="R86" s="4"/>
      <c r="S86" s="5"/>
      <c r="T86" s="5"/>
      <c r="U86" s="1"/>
      <c r="V86" s="2"/>
      <c r="W86" s="8"/>
      <c r="X86" s="9"/>
      <c r="Y86" s="8"/>
      <c r="Z86" s="9"/>
      <c r="AA86" s="9"/>
      <c r="AB86" s="8"/>
      <c r="AC86" s="9"/>
      <c r="AD86" s="9"/>
      <c r="AE86" s="8"/>
      <c r="AF86" s="9"/>
      <c r="AG86" s="9"/>
      <c r="AH86" s="11"/>
      <c r="AI86" s="51"/>
    </row>
    <row r="87" spans="2:35" ht="24" customHeight="1" x14ac:dyDescent="0.45">
      <c r="B87" s="23">
        <v>81</v>
      </c>
      <c r="C87" s="20" t="s">
        <v>102</v>
      </c>
      <c r="D87" s="19" t="s">
        <v>209</v>
      </c>
      <c r="E87" s="1"/>
      <c r="F87" s="2"/>
      <c r="G87" s="2"/>
      <c r="H87" s="1"/>
      <c r="I87" s="2"/>
      <c r="J87" s="1"/>
      <c r="K87" s="2"/>
      <c r="L87" s="1"/>
      <c r="M87" s="2"/>
      <c r="N87" s="2"/>
      <c r="O87" s="3"/>
      <c r="P87" s="2"/>
      <c r="Q87" s="2"/>
      <c r="R87" s="4"/>
      <c r="S87" s="5"/>
      <c r="T87" s="5"/>
      <c r="U87" s="1"/>
      <c r="V87" s="2"/>
      <c r="W87" s="8"/>
      <c r="X87" s="9"/>
      <c r="Y87" s="8"/>
      <c r="Z87" s="9"/>
      <c r="AA87" s="9"/>
      <c r="AB87" s="8"/>
      <c r="AC87" s="9"/>
      <c r="AD87" s="9"/>
      <c r="AE87" s="8"/>
      <c r="AF87" s="9"/>
      <c r="AG87" s="9"/>
      <c r="AH87" s="11"/>
      <c r="AI87" s="51"/>
    </row>
    <row r="88" spans="2:35" ht="24" customHeight="1" x14ac:dyDescent="0.45">
      <c r="B88" s="23">
        <v>82</v>
      </c>
      <c r="C88" s="20" t="s">
        <v>103</v>
      </c>
      <c r="D88" s="19" t="s">
        <v>210</v>
      </c>
      <c r="E88" s="1"/>
      <c r="F88" s="2"/>
      <c r="G88" s="2"/>
      <c r="H88" s="1"/>
      <c r="I88" s="2"/>
      <c r="J88" s="1"/>
      <c r="K88" s="2"/>
      <c r="L88" s="1"/>
      <c r="M88" s="2"/>
      <c r="N88" s="2"/>
      <c r="O88" s="3"/>
      <c r="P88" s="2"/>
      <c r="Q88" s="2"/>
      <c r="R88" s="4"/>
      <c r="S88" s="5"/>
      <c r="T88" s="5"/>
      <c r="U88" s="1"/>
      <c r="V88" s="2"/>
      <c r="W88" s="8"/>
      <c r="X88" s="9"/>
      <c r="Y88" s="8"/>
      <c r="Z88" s="9"/>
      <c r="AA88" s="9"/>
      <c r="AB88" s="8"/>
      <c r="AC88" s="9"/>
      <c r="AD88" s="9"/>
      <c r="AE88" s="8"/>
      <c r="AF88" s="9"/>
      <c r="AG88" s="9"/>
      <c r="AH88" s="11"/>
      <c r="AI88" s="51"/>
    </row>
    <row r="89" spans="2:35" ht="24" customHeight="1" x14ac:dyDescent="0.45">
      <c r="B89" s="23">
        <v>83</v>
      </c>
      <c r="C89" s="20" t="s">
        <v>104</v>
      </c>
      <c r="D89" s="19" t="s">
        <v>211</v>
      </c>
      <c r="E89" s="1"/>
      <c r="F89" s="2"/>
      <c r="G89" s="2"/>
      <c r="H89" s="1"/>
      <c r="I89" s="2"/>
      <c r="J89" s="1"/>
      <c r="K89" s="2"/>
      <c r="L89" s="1"/>
      <c r="M89" s="2"/>
      <c r="N89" s="2"/>
      <c r="O89" s="3"/>
      <c r="P89" s="2"/>
      <c r="Q89" s="2"/>
      <c r="R89" s="4"/>
      <c r="S89" s="5"/>
      <c r="T89" s="5"/>
      <c r="U89" s="1"/>
      <c r="V89" s="2"/>
      <c r="W89" s="8"/>
      <c r="X89" s="9"/>
      <c r="Y89" s="8"/>
      <c r="Z89" s="9"/>
      <c r="AA89" s="9"/>
      <c r="AB89" s="8"/>
      <c r="AC89" s="9"/>
      <c r="AD89" s="9"/>
      <c r="AE89" s="8"/>
      <c r="AF89" s="9"/>
      <c r="AG89" s="9"/>
      <c r="AH89" s="11"/>
      <c r="AI89" s="51"/>
    </row>
    <row r="90" spans="2:35" ht="24" customHeight="1" x14ac:dyDescent="0.45">
      <c r="B90" s="23">
        <v>84</v>
      </c>
      <c r="C90" s="20" t="s">
        <v>105</v>
      </c>
      <c r="D90" s="19" t="s">
        <v>212</v>
      </c>
      <c r="E90" s="1"/>
      <c r="F90" s="2"/>
      <c r="G90" s="2"/>
      <c r="H90" s="1"/>
      <c r="I90" s="2"/>
      <c r="J90" s="1"/>
      <c r="K90" s="2"/>
      <c r="L90" s="1"/>
      <c r="M90" s="2"/>
      <c r="N90" s="2"/>
      <c r="O90" s="3"/>
      <c r="P90" s="2"/>
      <c r="Q90" s="2"/>
      <c r="R90" s="4"/>
      <c r="S90" s="5"/>
      <c r="T90" s="5"/>
      <c r="U90" s="1"/>
      <c r="V90" s="2"/>
      <c r="W90" s="8"/>
      <c r="X90" s="9"/>
      <c r="Y90" s="8"/>
      <c r="Z90" s="9"/>
      <c r="AA90" s="9"/>
      <c r="AB90" s="8"/>
      <c r="AC90" s="9"/>
      <c r="AD90" s="9"/>
      <c r="AE90" s="8"/>
      <c r="AF90" s="9"/>
      <c r="AG90" s="9"/>
      <c r="AH90" s="11"/>
      <c r="AI90" s="51"/>
    </row>
    <row r="91" spans="2:35" ht="24" customHeight="1" x14ac:dyDescent="0.45">
      <c r="B91" s="23">
        <v>85</v>
      </c>
      <c r="C91" s="20" t="s">
        <v>106</v>
      </c>
      <c r="D91" s="19" t="s">
        <v>213</v>
      </c>
      <c r="E91" s="1"/>
      <c r="F91" s="2"/>
      <c r="G91" s="2"/>
      <c r="H91" s="1"/>
      <c r="I91" s="2"/>
      <c r="J91" s="1"/>
      <c r="K91" s="2"/>
      <c r="L91" s="1"/>
      <c r="M91" s="2"/>
      <c r="N91" s="2"/>
      <c r="O91" s="3"/>
      <c r="P91" s="2"/>
      <c r="Q91" s="2"/>
      <c r="R91" s="4"/>
      <c r="S91" s="5"/>
      <c r="T91" s="5"/>
      <c r="U91" s="1"/>
      <c r="V91" s="2"/>
      <c r="W91" s="8"/>
      <c r="X91" s="9"/>
      <c r="Y91" s="8"/>
      <c r="Z91" s="9"/>
      <c r="AA91" s="9"/>
      <c r="AB91" s="8"/>
      <c r="AC91" s="9"/>
      <c r="AD91" s="9"/>
      <c r="AE91" s="8"/>
      <c r="AF91" s="9"/>
      <c r="AG91" s="9"/>
      <c r="AH91" s="11"/>
      <c r="AI91" s="51"/>
    </row>
    <row r="92" spans="2:35" ht="24" customHeight="1" x14ac:dyDescent="0.45">
      <c r="B92" s="23">
        <v>86</v>
      </c>
      <c r="C92" s="20" t="s">
        <v>107</v>
      </c>
      <c r="D92" s="19" t="s">
        <v>214</v>
      </c>
      <c r="E92" s="1"/>
      <c r="F92" s="2"/>
      <c r="G92" s="2"/>
      <c r="H92" s="1"/>
      <c r="I92" s="2"/>
      <c r="J92" s="1"/>
      <c r="K92" s="2"/>
      <c r="L92" s="1"/>
      <c r="M92" s="2"/>
      <c r="N92" s="2"/>
      <c r="O92" s="3"/>
      <c r="P92" s="2"/>
      <c r="Q92" s="2"/>
      <c r="R92" s="4"/>
      <c r="S92" s="5"/>
      <c r="T92" s="5"/>
      <c r="U92" s="1"/>
      <c r="V92" s="2"/>
      <c r="W92" s="8"/>
      <c r="X92" s="9"/>
      <c r="Y92" s="8"/>
      <c r="Z92" s="9"/>
      <c r="AA92" s="9"/>
      <c r="AB92" s="8"/>
      <c r="AC92" s="9"/>
      <c r="AD92" s="9"/>
      <c r="AE92" s="8"/>
      <c r="AF92" s="9"/>
      <c r="AG92" s="9"/>
      <c r="AH92" s="11"/>
      <c r="AI92" s="51"/>
    </row>
    <row r="93" spans="2:35" ht="24" customHeight="1" x14ac:dyDescent="0.45">
      <c r="B93" s="23">
        <v>87</v>
      </c>
      <c r="C93" s="20" t="s">
        <v>108</v>
      </c>
      <c r="D93" s="19" t="s">
        <v>215</v>
      </c>
      <c r="E93" s="1"/>
      <c r="F93" s="2"/>
      <c r="G93" s="2"/>
      <c r="H93" s="1"/>
      <c r="I93" s="2"/>
      <c r="J93" s="1"/>
      <c r="K93" s="2"/>
      <c r="L93" s="1"/>
      <c r="M93" s="2"/>
      <c r="N93" s="2"/>
      <c r="O93" s="3"/>
      <c r="P93" s="2"/>
      <c r="Q93" s="2"/>
      <c r="R93" s="4"/>
      <c r="S93" s="5"/>
      <c r="T93" s="5"/>
      <c r="U93" s="1"/>
      <c r="V93" s="2"/>
      <c r="W93" s="8"/>
      <c r="X93" s="9"/>
      <c r="Y93" s="8"/>
      <c r="Z93" s="9"/>
      <c r="AA93" s="9"/>
      <c r="AB93" s="8"/>
      <c r="AC93" s="9"/>
      <c r="AD93" s="9"/>
      <c r="AE93" s="8"/>
      <c r="AF93" s="9"/>
      <c r="AG93" s="9"/>
      <c r="AH93" s="11"/>
      <c r="AI93" s="51"/>
    </row>
    <row r="94" spans="2:35" ht="24" customHeight="1" x14ac:dyDescent="0.45">
      <c r="B94" s="23">
        <v>88</v>
      </c>
      <c r="C94" s="20" t="s">
        <v>109</v>
      </c>
      <c r="D94" s="19" t="s">
        <v>216</v>
      </c>
      <c r="E94" s="1"/>
      <c r="F94" s="2"/>
      <c r="G94" s="2"/>
      <c r="H94" s="1"/>
      <c r="I94" s="2"/>
      <c r="J94" s="1"/>
      <c r="K94" s="2"/>
      <c r="L94" s="1"/>
      <c r="M94" s="2"/>
      <c r="N94" s="2"/>
      <c r="O94" s="3"/>
      <c r="P94" s="2"/>
      <c r="Q94" s="2"/>
      <c r="R94" s="4"/>
      <c r="S94" s="5"/>
      <c r="T94" s="5"/>
      <c r="U94" s="1"/>
      <c r="V94" s="2"/>
      <c r="W94" s="8"/>
      <c r="X94" s="9"/>
      <c r="Y94" s="8"/>
      <c r="Z94" s="9"/>
      <c r="AA94" s="9"/>
      <c r="AB94" s="8"/>
      <c r="AC94" s="9"/>
      <c r="AD94" s="9"/>
      <c r="AE94" s="8"/>
      <c r="AF94" s="9"/>
      <c r="AG94" s="9"/>
      <c r="AH94" s="11"/>
      <c r="AI94" s="51"/>
    </row>
    <row r="95" spans="2:35" ht="24" customHeight="1" x14ac:dyDescent="0.45">
      <c r="B95" s="23">
        <v>89</v>
      </c>
      <c r="C95" s="20" t="s">
        <v>110</v>
      </c>
      <c r="D95" s="19" t="s">
        <v>217</v>
      </c>
      <c r="E95" s="1"/>
      <c r="F95" s="2"/>
      <c r="G95" s="2"/>
      <c r="H95" s="1"/>
      <c r="I95" s="2"/>
      <c r="J95" s="1"/>
      <c r="K95" s="2"/>
      <c r="L95" s="1"/>
      <c r="M95" s="2"/>
      <c r="N95" s="2"/>
      <c r="O95" s="3"/>
      <c r="P95" s="2"/>
      <c r="Q95" s="2"/>
      <c r="R95" s="4"/>
      <c r="S95" s="5"/>
      <c r="T95" s="5"/>
      <c r="U95" s="1"/>
      <c r="V95" s="2"/>
      <c r="W95" s="8"/>
      <c r="X95" s="9"/>
      <c r="Y95" s="8"/>
      <c r="Z95" s="9"/>
      <c r="AA95" s="9"/>
      <c r="AB95" s="8"/>
      <c r="AC95" s="9"/>
      <c r="AD95" s="9"/>
      <c r="AE95" s="8"/>
      <c r="AF95" s="9"/>
      <c r="AG95" s="9"/>
      <c r="AH95" s="11"/>
      <c r="AI95" s="51"/>
    </row>
    <row r="96" spans="2:35" ht="24" customHeight="1" x14ac:dyDescent="0.45">
      <c r="B96" s="23">
        <v>90</v>
      </c>
      <c r="C96" s="20" t="s">
        <v>111</v>
      </c>
      <c r="D96" s="19" t="s">
        <v>218</v>
      </c>
      <c r="E96" s="1"/>
      <c r="F96" s="2"/>
      <c r="G96" s="2"/>
      <c r="H96" s="1"/>
      <c r="I96" s="2"/>
      <c r="J96" s="1"/>
      <c r="K96" s="2"/>
      <c r="L96" s="1"/>
      <c r="M96" s="2"/>
      <c r="N96" s="2"/>
      <c r="O96" s="3"/>
      <c r="P96" s="2"/>
      <c r="Q96" s="2"/>
      <c r="R96" s="4"/>
      <c r="S96" s="5"/>
      <c r="T96" s="5"/>
      <c r="U96" s="1"/>
      <c r="V96" s="2"/>
      <c r="W96" s="8"/>
      <c r="X96" s="9"/>
      <c r="Y96" s="8"/>
      <c r="Z96" s="9"/>
      <c r="AA96" s="9"/>
      <c r="AB96" s="8"/>
      <c r="AC96" s="9"/>
      <c r="AD96" s="9"/>
      <c r="AE96" s="8"/>
      <c r="AF96" s="9"/>
      <c r="AG96" s="9"/>
      <c r="AH96" s="11"/>
      <c r="AI96" s="51"/>
    </row>
    <row r="97" spans="2:35" ht="24" customHeight="1" x14ac:dyDescent="0.45">
      <c r="B97" s="23">
        <v>91</v>
      </c>
      <c r="C97" s="20" t="s">
        <v>112</v>
      </c>
      <c r="D97" s="19" t="s">
        <v>219</v>
      </c>
      <c r="E97" s="1"/>
      <c r="F97" s="2"/>
      <c r="G97" s="2"/>
      <c r="H97" s="1"/>
      <c r="I97" s="2"/>
      <c r="J97" s="1"/>
      <c r="K97" s="2"/>
      <c r="L97" s="1"/>
      <c r="M97" s="2"/>
      <c r="N97" s="2"/>
      <c r="O97" s="3"/>
      <c r="P97" s="2"/>
      <c r="Q97" s="2"/>
      <c r="R97" s="4"/>
      <c r="S97" s="5"/>
      <c r="T97" s="5"/>
      <c r="U97" s="1"/>
      <c r="V97" s="2"/>
      <c r="W97" s="8"/>
      <c r="X97" s="9"/>
      <c r="Y97" s="8"/>
      <c r="Z97" s="9"/>
      <c r="AA97" s="9"/>
      <c r="AB97" s="8"/>
      <c r="AC97" s="9"/>
      <c r="AD97" s="9"/>
      <c r="AE97" s="8"/>
      <c r="AF97" s="9"/>
      <c r="AG97" s="9"/>
      <c r="AH97" s="11"/>
      <c r="AI97" s="51"/>
    </row>
    <row r="98" spans="2:35" ht="24" customHeight="1" x14ac:dyDescent="0.45">
      <c r="B98" s="23">
        <v>92</v>
      </c>
      <c r="C98" s="20" t="s">
        <v>113</v>
      </c>
      <c r="D98" s="19" t="s">
        <v>220</v>
      </c>
      <c r="E98" s="1"/>
      <c r="F98" s="2"/>
      <c r="G98" s="2"/>
      <c r="H98" s="1"/>
      <c r="I98" s="2"/>
      <c r="J98" s="1"/>
      <c r="K98" s="2"/>
      <c r="L98" s="1"/>
      <c r="M98" s="2"/>
      <c r="N98" s="2"/>
      <c r="O98" s="3"/>
      <c r="P98" s="2"/>
      <c r="Q98" s="2"/>
      <c r="R98" s="4"/>
      <c r="S98" s="5"/>
      <c r="T98" s="5"/>
      <c r="U98" s="1"/>
      <c r="V98" s="2"/>
      <c r="W98" s="8"/>
      <c r="X98" s="9"/>
      <c r="Y98" s="8"/>
      <c r="Z98" s="9"/>
      <c r="AA98" s="9"/>
      <c r="AB98" s="8"/>
      <c r="AC98" s="9"/>
      <c r="AD98" s="9"/>
      <c r="AE98" s="8"/>
      <c r="AF98" s="9"/>
      <c r="AG98" s="9"/>
      <c r="AH98" s="11"/>
      <c r="AI98" s="51"/>
    </row>
    <row r="99" spans="2:35" ht="24" customHeight="1" x14ac:dyDescent="0.45">
      <c r="B99" s="23">
        <v>93</v>
      </c>
      <c r="C99" s="20" t="s">
        <v>114</v>
      </c>
      <c r="D99" s="19" t="s">
        <v>221</v>
      </c>
      <c r="E99" s="1"/>
      <c r="F99" s="2"/>
      <c r="G99" s="2"/>
      <c r="H99" s="1"/>
      <c r="I99" s="2"/>
      <c r="J99" s="1"/>
      <c r="K99" s="2"/>
      <c r="L99" s="1"/>
      <c r="M99" s="2"/>
      <c r="N99" s="2"/>
      <c r="O99" s="3"/>
      <c r="P99" s="2"/>
      <c r="Q99" s="2"/>
      <c r="R99" s="4"/>
      <c r="S99" s="5"/>
      <c r="T99" s="5"/>
      <c r="U99" s="1"/>
      <c r="V99" s="2"/>
      <c r="W99" s="8"/>
      <c r="X99" s="9"/>
      <c r="Y99" s="8"/>
      <c r="Z99" s="9"/>
      <c r="AA99" s="9"/>
      <c r="AB99" s="8"/>
      <c r="AC99" s="9"/>
      <c r="AD99" s="9"/>
      <c r="AE99" s="8"/>
      <c r="AF99" s="9"/>
      <c r="AG99" s="9"/>
      <c r="AH99" s="11"/>
      <c r="AI99" s="51"/>
    </row>
    <row r="100" spans="2:35" ht="24" customHeight="1" x14ac:dyDescent="0.45">
      <c r="B100" s="23">
        <v>94</v>
      </c>
      <c r="C100" s="20" t="s">
        <v>40</v>
      </c>
      <c r="D100" s="19" t="s">
        <v>222</v>
      </c>
      <c r="E100" s="1"/>
      <c r="F100" s="2"/>
      <c r="G100" s="2"/>
      <c r="H100" s="1"/>
      <c r="I100" s="2"/>
      <c r="J100" s="1"/>
      <c r="K100" s="2"/>
      <c r="L100" s="1"/>
      <c r="M100" s="2"/>
      <c r="N100" s="2"/>
      <c r="O100" s="3"/>
      <c r="P100" s="2"/>
      <c r="Q100" s="2"/>
      <c r="R100" s="4"/>
      <c r="S100" s="5"/>
      <c r="T100" s="5"/>
      <c r="U100" s="1"/>
      <c r="V100" s="2"/>
      <c r="W100" s="8"/>
      <c r="X100" s="9"/>
      <c r="Y100" s="8"/>
      <c r="Z100" s="9"/>
      <c r="AA100" s="9"/>
      <c r="AB100" s="8"/>
      <c r="AC100" s="9"/>
      <c r="AD100" s="9"/>
      <c r="AE100" s="8"/>
      <c r="AF100" s="9"/>
      <c r="AG100" s="9"/>
      <c r="AH100" s="11"/>
      <c r="AI100" s="51"/>
    </row>
    <row r="101" spans="2:35" ht="24" customHeight="1" x14ac:dyDescent="0.45">
      <c r="B101" s="23">
        <v>95</v>
      </c>
      <c r="C101" s="20" t="s">
        <v>41</v>
      </c>
      <c r="D101" s="19" t="s">
        <v>223</v>
      </c>
      <c r="E101" s="1"/>
      <c r="F101" s="2"/>
      <c r="G101" s="2"/>
      <c r="H101" s="1"/>
      <c r="I101" s="2"/>
      <c r="J101" s="1"/>
      <c r="K101" s="2"/>
      <c r="L101" s="1"/>
      <c r="M101" s="2"/>
      <c r="N101" s="2"/>
      <c r="O101" s="3"/>
      <c r="P101" s="2"/>
      <c r="Q101" s="2"/>
      <c r="R101" s="4"/>
      <c r="S101" s="5"/>
      <c r="T101" s="5"/>
      <c r="U101" s="1"/>
      <c r="V101" s="2"/>
      <c r="W101" s="8"/>
      <c r="X101" s="9"/>
      <c r="Y101" s="8"/>
      <c r="Z101" s="9"/>
      <c r="AA101" s="9"/>
      <c r="AB101" s="8"/>
      <c r="AC101" s="9"/>
      <c r="AD101" s="9"/>
      <c r="AE101" s="8"/>
      <c r="AF101" s="9"/>
      <c r="AG101" s="9"/>
      <c r="AH101" s="11"/>
      <c r="AI101" s="51"/>
    </row>
    <row r="102" spans="2:35" ht="24" customHeight="1" x14ac:dyDescent="0.45">
      <c r="B102" s="23">
        <v>96</v>
      </c>
      <c r="C102" s="20" t="s">
        <v>115</v>
      </c>
      <c r="D102" s="19" t="s">
        <v>224</v>
      </c>
      <c r="E102" s="1"/>
      <c r="F102" s="2"/>
      <c r="G102" s="2"/>
      <c r="H102" s="1"/>
      <c r="I102" s="2"/>
      <c r="J102" s="1"/>
      <c r="K102" s="2"/>
      <c r="L102" s="1"/>
      <c r="M102" s="2"/>
      <c r="N102" s="2"/>
      <c r="O102" s="3"/>
      <c r="P102" s="2"/>
      <c r="Q102" s="2"/>
      <c r="R102" s="4"/>
      <c r="S102" s="5"/>
      <c r="T102" s="5"/>
      <c r="U102" s="1"/>
      <c r="V102" s="2"/>
      <c r="W102" s="8"/>
      <c r="X102" s="9"/>
      <c r="Y102" s="8"/>
      <c r="Z102" s="9"/>
      <c r="AA102" s="9"/>
      <c r="AB102" s="8"/>
      <c r="AC102" s="9"/>
      <c r="AD102" s="9"/>
      <c r="AE102" s="8"/>
      <c r="AF102" s="9"/>
      <c r="AG102" s="9"/>
      <c r="AH102" s="11"/>
      <c r="AI102" s="51"/>
    </row>
    <row r="103" spans="2:35" ht="24" customHeight="1" x14ac:dyDescent="0.45">
      <c r="B103" s="23">
        <v>97</v>
      </c>
      <c r="C103" s="20" t="s">
        <v>116</v>
      </c>
      <c r="D103" s="19" t="s">
        <v>225</v>
      </c>
      <c r="E103" s="1"/>
      <c r="F103" s="2"/>
      <c r="G103" s="2"/>
      <c r="H103" s="1"/>
      <c r="I103" s="2"/>
      <c r="J103" s="1"/>
      <c r="K103" s="2"/>
      <c r="L103" s="1"/>
      <c r="M103" s="2"/>
      <c r="N103" s="2"/>
      <c r="O103" s="3"/>
      <c r="P103" s="2"/>
      <c r="Q103" s="2"/>
      <c r="R103" s="4"/>
      <c r="S103" s="5"/>
      <c r="T103" s="5"/>
      <c r="U103" s="1"/>
      <c r="V103" s="2"/>
      <c r="W103" s="8"/>
      <c r="X103" s="9"/>
      <c r="Y103" s="8"/>
      <c r="Z103" s="9"/>
      <c r="AA103" s="9"/>
      <c r="AB103" s="8"/>
      <c r="AC103" s="9"/>
      <c r="AD103" s="9"/>
      <c r="AE103" s="8"/>
      <c r="AF103" s="9"/>
      <c r="AG103" s="9"/>
      <c r="AH103" s="11"/>
      <c r="AI103" s="51"/>
    </row>
    <row r="104" spans="2:35" ht="24" customHeight="1" x14ac:dyDescent="0.45">
      <c r="B104" s="23">
        <v>98</v>
      </c>
      <c r="C104" s="20" t="s">
        <v>117</v>
      </c>
      <c r="D104" s="19" t="s">
        <v>226</v>
      </c>
      <c r="E104" s="1"/>
      <c r="F104" s="2"/>
      <c r="G104" s="2"/>
      <c r="H104" s="1"/>
      <c r="I104" s="2"/>
      <c r="J104" s="1"/>
      <c r="K104" s="2"/>
      <c r="L104" s="1"/>
      <c r="M104" s="2"/>
      <c r="N104" s="2"/>
      <c r="O104" s="3"/>
      <c r="P104" s="2"/>
      <c r="Q104" s="2"/>
      <c r="R104" s="4"/>
      <c r="S104" s="5"/>
      <c r="T104" s="5"/>
      <c r="U104" s="1"/>
      <c r="V104" s="2"/>
      <c r="W104" s="8"/>
      <c r="X104" s="9"/>
      <c r="Y104" s="8"/>
      <c r="Z104" s="9"/>
      <c r="AA104" s="9"/>
      <c r="AB104" s="8"/>
      <c r="AC104" s="9"/>
      <c r="AD104" s="9"/>
      <c r="AE104" s="8"/>
      <c r="AF104" s="9"/>
      <c r="AG104" s="9"/>
      <c r="AH104" s="11"/>
      <c r="AI104" s="51"/>
    </row>
    <row r="105" spans="2:35" ht="24" customHeight="1" x14ac:dyDescent="0.45">
      <c r="B105" s="23">
        <v>99</v>
      </c>
      <c r="C105" s="20" t="s">
        <v>118</v>
      </c>
      <c r="D105" s="19" t="s">
        <v>227</v>
      </c>
      <c r="E105" s="1"/>
      <c r="F105" s="2"/>
      <c r="G105" s="2"/>
      <c r="H105" s="1"/>
      <c r="I105" s="2"/>
      <c r="J105" s="1"/>
      <c r="K105" s="2"/>
      <c r="L105" s="1"/>
      <c r="M105" s="2"/>
      <c r="N105" s="2"/>
      <c r="O105" s="3"/>
      <c r="P105" s="2"/>
      <c r="Q105" s="2"/>
      <c r="R105" s="4"/>
      <c r="S105" s="5"/>
      <c r="T105" s="5"/>
      <c r="U105" s="1"/>
      <c r="V105" s="2"/>
      <c r="W105" s="8"/>
      <c r="X105" s="9"/>
      <c r="Y105" s="8"/>
      <c r="Z105" s="9"/>
      <c r="AA105" s="9"/>
      <c r="AB105" s="8"/>
      <c r="AC105" s="9"/>
      <c r="AD105" s="9"/>
      <c r="AE105" s="8"/>
      <c r="AF105" s="9"/>
      <c r="AG105" s="9"/>
      <c r="AH105" s="11"/>
      <c r="AI105" s="51"/>
    </row>
    <row r="106" spans="2:35" ht="24" customHeight="1" x14ac:dyDescent="0.45">
      <c r="B106" s="23">
        <v>100</v>
      </c>
      <c r="C106" s="20" t="s">
        <v>119</v>
      </c>
      <c r="D106" s="19" t="s">
        <v>228</v>
      </c>
      <c r="E106" s="1"/>
      <c r="F106" s="2"/>
      <c r="G106" s="2"/>
      <c r="H106" s="1"/>
      <c r="I106" s="2"/>
      <c r="J106" s="1"/>
      <c r="K106" s="2"/>
      <c r="L106" s="1"/>
      <c r="M106" s="2"/>
      <c r="N106" s="2"/>
      <c r="O106" s="3"/>
      <c r="P106" s="2"/>
      <c r="Q106" s="2"/>
      <c r="R106" s="4"/>
      <c r="S106" s="5"/>
      <c r="T106" s="5"/>
      <c r="U106" s="1"/>
      <c r="V106" s="2"/>
      <c r="W106" s="8"/>
      <c r="X106" s="9"/>
      <c r="Y106" s="8"/>
      <c r="Z106" s="9"/>
      <c r="AA106" s="9"/>
      <c r="AB106" s="8"/>
      <c r="AC106" s="9"/>
      <c r="AD106" s="9"/>
      <c r="AE106" s="8"/>
      <c r="AF106" s="9"/>
      <c r="AG106" s="9"/>
      <c r="AH106" s="11"/>
      <c r="AI106" s="51"/>
    </row>
    <row r="107" spans="2:35" ht="24" customHeight="1" x14ac:dyDescent="0.45">
      <c r="B107" s="23">
        <v>101</v>
      </c>
      <c r="C107" s="20" t="s">
        <v>120</v>
      </c>
      <c r="D107" s="19" t="s">
        <v>229</v>
      </c>
      <c r="E107" s="1"/>
      <c r="F107" s="2"/>
      <c r="G107" s="2"/>
      <c r="H107" s="1"/>
      <c r="I107" s="2"/>
      <c r="J107" s="1"/>
      <c r="K107" s="2"/>
      <c r="L107" s="1"/>
      <c r="M107" s="2"/>
      <c r="N107" s="2"/>
      <c r="O107" s="3"/>
      <c r="P107" s="2"/>
      <c r="Q107" s="2"/>
      <c r="R107" s="4"/>
      <c r="S107" s="5"/>
      <c r="T107" s="5"/>
      <c r="U107" s="1"/>
      <c r="V107" s="2"/>
      <c r="W107" s="8"/>
      <c r="X107" s="9"/>
      <c r="Y107" s="8"/>
      <c r="Z107" s="9"/>
      <c r="AA107" s="9"/>
      <c r="AB107" s="8"/>
      <c r="AC107" s="9"/>
      <c r="AD107" s="9"/>
      <c r="AE107" s="8"/>
      <c r="AF107" s="9"/>
      <c r="AG107" s="9"/>
      <c r="AH107" s="11"/>
      <c r="AI107" s="51"/>
    </row>
    <row r="108" spans="2:35" ht="24" customHeight="1" x14ac:dyDescent="0.45">
      <c r="B108" s="23">
        <v>102</v>
      </c>
      <c r="C108" s="20" t="s">
        <v>121</v>
      </c>
      <c r="D108" s="19" t="s">
        <v>230</v>
      </c>
      <c r="E108" s="1"/>
      <c r="F108" s="2"/>
      <c r="G108" s="2"/>
      <c r="H108" s="1"/>
      <c r="I108" s="2"/>
      <c r="J108" s="1"/>
      <c r="K108" s="2"/>
      <c r="L108" s="1"/>
      <c r="M108" s="2"/>
      <c r="N108" s="2"/>
      <c r="O108" s="3"/>
      <c r="P108" s="2"/>
      <c r="Q108" s="2"/>
      <c r="R108" s="4"/>
      <c r="S108" s="5"/>
      <c r="T108" s="5"/>
      <c r="U108" s="1"/>
      <c r="V108" s="2"/>
      <c r="W108" s="8"/>
      <c r="X108" s="9"/>
      <c r="Y108" s="8"/>
      <c r="Z108" s="9"/>
      <c r="AA108" s="9"/>
      <c r="AB108" s="8"/>
      <c r="AC108" s="9"/>
      <c r="AD108" s="9"/>
      <c r="AE108" s="8"/>
      <c r="AF108" s="9"/>
      <c r="AG108" s="9"/>
      <c r="AH108" s="11"/>
      <c r="AI108" s="51"/>
    </row>
    <row r="109" spans="2:35" ht="24" customHeight="1" x14ac:dyDescent="0.45">
      <c r="B109" s="23">
        <v>103</v>
      </c>
      <c r="C109" s="20" t="s">
        <v>122</v>
      </c>
      <c r="D109" s="19" t="s">
        <v>231</v>
      </c>
      <c r="E109" s="1"/>
      <c r="F109" s="2"/>
      <c r="G109" s="2"/>
      <c r="H109" s="1"/>
      <c r="I109" s="2"/>
      <c r="J109" s="1"/>
      <c r="K109" s="2"/>
      <c r="L109" s="1"/>
      <c r="M109" s="2"/>
      <c r="N109" s="2"/>
      <c r="O109" s="3"/>
      <c r="P109" s="2"/>
      <c r="Q109" s="2"/>
      <c r="R109" s="4"/>
      <c r="S109" s="5"/>
      <c r="T109" s="5"/>
      <c r="U109" s="1"/>
      <c r="V109" s="2"/>
      <c r="W109" s="8"/>
      <c r="X109" s="9"/>
      <c r="Y109" s="8"/>
      <c r="Z109" s="9"/>
      <c r="AA109" s="9"/>
      <c r="AB109" s="8"/>
      <c r="AC109" s="9"/>
      <c r="AD109" s="9"/>
      <c r="AE109" s="8"/>
      <c r="AF109" s="9"/>
      <c r="AG109" s="9"/>
      <c r="AH109" s="11"/>
      <c r="AI109" s="51"/>
    </row>
    <row r="110" spans="2:35" ht="24" customHeight="1" x14ac:dyDescent="0.45">
      <c r="B110" s="23">
        <v>104</v>
      </c>
      <c r="C110" s="20" t="s">
        <v>123</v>
      </c>
      <c r="D110" s="19" t="s">
        <v>232</v>
      </c>
      <c r="E110" s="1"/>
      <c r="F110" s="2"/>
      <c r="G110" s="2"/>
      <c r="H110" s="1"/>
      <c r="I110" s="2"/>
      <c r="J110" s="1"/>
      <c r="K110" s="2"/>
      <c r="L110" s="1"/>
      <c r="M110" s="2"/>
      <c r="N110" s="2"/>
      <c r="O110" s="3"/>
      <c r="P110" s="2"/>
      <c r="Q110" s="2"/>
      <c r="R110" s="4"/>
      <c r="S110" s="5"/>
      <c r="T110" s="5"/>
      <c r="U110" s="1"/>
      <c r="V110" s="2"/>
      <c r="W110" s="8"/>
      <c r="X110" s="9"/>
      <c r="Y110" s="8"/>
      <c r="Z110" s="9"/>
      <c r="AA110" s="9"/>
      <c r="AB110" s="8"/>
      <c r="AC110" s="9"/>
      <c r="AD110" s="9"/>
      <c r="AE110" s="8"/>
      <c r="AF110" s="9"/>
      <c r="AG110" s="9"/>
      <c r="AH110" s="11"/>
      <c r="AI110" s="51"/>
    </row>
    <row r="111" spans="2:35" ht="24" customHeight="1" x14ac:dyDescent="0.45">
      <c r="B111" s="23">
        <v>105</v>
      </c>
      <c r="C111" s="20" t="s">
        <v>124</v>
      </c>
      <c r="D111" s="19" t="s">
        <v>233</v>
      </c>
      <c r="E111" s="1"/>
      <c r="F111" s="2"/>
      <c r="G111" s="2"/>
      <c r="H111" s="1"/>
      <c r="I111" s="2"/>
      <c r="J111" s="1"/>
      <c r="K111" s="2"/>
      <c r="L111" s="1"/>
      <c r="M111" s="2"/>
      <c r="N111" s="2"/>
      <c r="O111" s="3"/>
      <c r="P111" s="2"/>
      <c r="Q111" s="2"/>
      <c r="R111" s="4"/>
      <c r="S111" s="5"/>
      <c r="T111" s="5"/>
      <c r="U111" s="1"/>
      <c r="V111" s="2"/>
      <c r="W111" s="8"/>
      <c r="X111" s="9"/>
      <c r="Y111" s="8"/>
      <c r="Z111" s="9"/>
      <c r="AA111" s="9"/>
      <c r="AB111" s="8"/>
      <c r="AC111" s="9"/>
      <c r="AD111" s="9"/>
      <c r="AE111" s="8"/>
      <c r="AF111" s="9"/>
      <c r="AG111" s="9"/>
      <c r="AH111" s="11"/>
      <c r="AI111" s="51"/>
    </row>
    <row r="112" spans="2:35" ht="24" customHeight="1" x14ac:dyDescent="0.45">
      <c r="B112" s="23">
        <v>106</v>
      </c>
      <c r="C112" s="20" t="s">
        <v>124</v>
      </c>
      <c r="D112" s="19" t="s">
        <v>234</v>
      </c>
      <c r="E112" s="1"/>
      <c r="F112" s="2"/>
      <c r="G112" s="2"/>
      <c r="H112" s="1"/>
      <c r="I112" s="2"/>
      <c r="J112" s="1"/>
      <c r="K112" s="2"/>
      <c r="L112" s="1"/>
      <c r="M112" s="2"/>
      <c r="N112" s="2"/>
      <c r="O112" s="3"/>
      <c r="P112" s="2"/>
      <c r="Q112" s="2"/>
      <c r="R112" s="4"/>
      <c r="S112" s="5"/>
      <c r="T112" s="5"/>
      <c r="U112" s="1"/>
      <c r="V112" s="2"/>
      <c r="W112" s="8"/>
      <c r="X112" s="9"/>
      <c r="Y112" s="8"/>
      <c r="Z112" s="9"/>
      <c r="AA112" s="9"/>
      <c r="AB112" s="8"/>
      <c r="AC112" s="9"/>
      <c r="AD112" s="9"/>
      <c r="AE112" s="8"/>
      <c r="AF112" s="9"/>
      <c r="AG112" s="9"/>
      <c r="AH112" s="11"/>
      <c r="AI112" s="51"/>
    </row>
    <row r="113" spans="2:35" ht="24" customHeight="1" x14ac:dyDescent="0.45">
      <c r="B113" s="23">
        <v>107</v>
      </c>
      <c r="C113" s="20" t="s">
        <v>125</v>
      </c>
      <c r="D113" s="19" t="s">
        <v>140</v>
      </c>
      <c r="E113" s="1"/>
      <c r="F113" s="2"/>
      <c r="G113" s="2"/>
      <c r="H113" s="1"/>
      <c r="I113" s="2"/>
      <c r="J113" s="1"/>
      <c r="K113" s="2"/>
      <c r="L113" s="1"/>
      <c r="M113" s="2"/>
      <c r="N113" s="2"/>
      <c r="O113" s="3"/>
      <c r="P113" s="2"/>
      <c r="Q113" s="2"/>
      <c r="R113" s="4"/>
      <c r="S113" s="5"/>
      <c r="T113" s="5"/>
      <c r="U113" s="1"/>
      <c r="V113" s="2"/>
      <c r="W113" s="8"/>
      <c r="X113" s="9"/>
      <c r="Y113" s="8"/>
      <c r="Z113" s="9"/>
      <c r="AA113" s="9"/>
      <c r="AB113" s="8"/>
      <c r="AC113" s="9"/>
      <c r="AD113" s="9"/>
      <c r="AE113" s="8"/>
      <c r="AF113" s="9"/>
      <c r="AG113" s="9"/>
      <c r="AH113" s="11"/>
      <c r="AI113" s="51"/>
    </row>
    <row r="114" spans="2:35" ht="24" customHeight="1" x14ac:dyDescent="0.45">
      <c r="B114" s="23">
        <v>108</v>
      </c>
      <c r="C114" s="20" t="s">
        <v>126</v>
      </c>
      <c r="D114" s="19" t="s">
        <v>141</v>
      </c>
      <c r="E114" s="1"/>
      <c r="F114" s="2"/>
      <c r="G114" s="2"/>
      <c r="H114" s="1"/>
      <c r="I114" s="2"/>
      <c r="J114" s="1"/>
      <c r="K114" s="2"/>
      <c r="L114" s="1"/>
      <c r="M114" s="2"/>
      <c r="N114" s="2"/>
      <c r="O114" s="3"/>
      <c r="P114" s="2"/>
      <c r="Q114" s="2"/>
      <c r="R114" s="4"/>
      <c r="S114" s="5"/>
      <c r="T114" s="5"/>
      <c r="U114" s="1"/>
      <c r="V114" s="2"/>
      <c r="W114" s="8"/>
      <c r="X114" s="9"/>
      <c r="Y114" s="8"/>
      <c r="Z114" s="9"/>
      <c r="AA114" s="9"/>
      <c r="AB114" s="8"/>
      <c r="AC114" s="9"/>
      <c r="AD114" s="9"/>
      <c r="AE114" s="8"/>
      <c r="AF114" s="9"/>
      <c r="AG114" s="9"/>
      <c r="AH114" s="11"/>
      <c r="AI114" s="51"/>
    </row>
    <row r="115" spans="2:35" ht="24" customHeight="1" x14ac:dyDescent="0.45">
      <c r="B115" s="23">
        <v>109</v>
      </c>
      <c r="C115" s="20" t="s">
        <v>127</v>
      </c>
      <c r="D115" s="19" t="s">
        <v>235</v>
      </c>
      <c r="E115" s="1"/>
      <c r="F115" s="2"/>
      <c r="G115" s="2"/>
      <c r="H115" s="1"/>
      <c r="I115" s="2"/>
      <c r="J115" s="1"/>
      <c r="K115" s="2"/>
      <c r="L115" s="1"/>
      <c r="M115" s="2"/>
      <c r="N115" s="2"/>
      <c r="O115" s="3"/>
      <c r="P115" s="2"/>
      <c r="Q115" s="2"/>
      <c r="R115" s="4"/>
      <c r="S115" s="5"/>
      <c r="T115" s="5"/>
      <c r="U115" s="1"/>
      <c r="V115" s="2"/>
      <c r="W115" s="8"/>
      <c r="X115" s="9"/>
      <c r="Y115" s="8"/>
      <c r="Z115" s="9"/>
      <c r="AA115" s="9"/>
      <c r="AB115" s="8"/>
      <c r="AC115" s="9"/>
      <c r="AD115" s="9"/>
      <c r="AE115" s="8"/>
      <c r="AF115" s="9"/>
      <c r="AG115" s="9"/>
      <c r="AH115" s="11"/>
      <c r="AI115" s="51"/>
    </row>
    <row r="116" spans="2:35" ht="24" customHeight="1" thickBot="1" x14ac:dyDescent="0.5">
      <c r="B116" s="54">
        <v>110</v>
      </c>
      <c r="C116" s="55" t="s">
        <v>128</v>
      </c>
      <c r="D116" s="56" t="s">
        <v>236</v>
      </c>
      <c r="E116" s="57"/>
      <c r="F116" s="58"/>
      <c r="G116" s="58"/>
      <c r="H116" s="57"/>
      <c r="I116" s="58"/>
      <c r="J116" s="57"/>
      <c r="K116" s="58"/>
      <c r="L116" s="57"/>
      <c r="M116" s="58"/>
      <c r="N116" s="58"/>
      <c r="O116" s="59"/>
      <c r="P116" s="58"/>
      <c r="Q116" s="58"/>
      <c r="R116" s="60"/>
      <c r="S116" s="61"/>
      <c r="T116" s="61"/>
      <c r="U116" s="57"/>
      <c r="V116" s="58"/>
      <c r="W116" s="62"/>
      <c r="X116" s="63"/>
      <c r="Y116" s="62"/>
      <c r="Z116" s="63"/>
      <c r="AA116" s="63"/>
      <c r="AB116" s="62"/>
      <c r="AC116" s="63"/>
      <c r="AD116" s="63"/>
      <c r="AE116" s="62"/>
      <c r="AF116" s="63"/>
      <c r="AG116" s="63"/>
      <c r="AH116" s="52"/>
      <c r="AI116" s="53"/>
    </row>
  </sheetData>
  <mergeCells count="19">
    <mergeCell ref="AH4:AH6"/>
    <mergeCell ref="AI4:AI6"/>
    <mergeCell ref="E2:AF3"/>
    <mergeCell ref="AG2:AI2"/>
    <mergeCell ref="AG3:AI3"/>
    <mergeCell ref="W4:X4"/>
    <mergeCell ref="Y4:AA4"/>
    <mergeCell ref="AB4:AD4"/>
    <mergeCell ref="AE4:AG4"/>
    <mergeCell ref="U4:V4"/>
    <mergeCell ref="O4:Q4"/>
    <mergeCell ref="R4:T4"/>
    <mergeCell ref="J4:K4"/>
    <mergeCell ref="L4:N4"/>
    <mergeCell ref="D4:D6"/>
    <mergeCell ref="B4:B6"/>
    <mergeCell ref="C4:C6"/>
    <mergeCell ref="E4:G4"/>
    <mergeCell ref="H4:I4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6"/>
  <sheetViews>
    <sheetView rightToLeft="1" workbookViewId="0">
      <selection activeCell="F14" sqref="F14"/>
    </sheetView>
  </sheetViews>
  <sheetFormatPr defaultRowHeight="15" x14ac:dyDescent="0.25"/>
  <cols>
    <col min="1" max="1" width="2.5703125" customWidth="1"/>
    <col min="2" max="2" width="8.85546875" customWidth="1"/>
    <col min="3" max="3" width="7.140625" customWidth="1"/>
    <col min="4" max="4" width="19.140625" customWidth="1"/>
    <col min="5" max="5" width="11.42578125" style="69" customWidth="1"/>
    <col min="6" max="6" width="28.85546875" customWidth="1"/>
    <col min="7" max="7" width="27.42578125" customWidth="1"/>
    <col min="8" max="8" width="16.85546875" customWidth="1"/>
  </cols>
  <sheetData>
    <row r="1" spans="2:8" ht="10.5" customHeight="1" thickBot="1" x14ac:dyDescent="0.3"/>
    <row r="2" spans="2:8" ht="21" customHeight="1" x14ac:dyDescent="0.25">
      <c r="B2" s="156"/>
      <c r="C2" s="102"/>
      <c r="D2" s="217" t="s">
        <v>262</v>
      </c>
      <c r="E2" s="217"/>
      <c r="F2" s="217"/>
      <c r="G2" s="218"/>
      <c r="H2" s="70" t="s">
        <v>448</v>
      </c>
    </row>
    <row r="3" spans="2:8" ht="21" customHeight="1" x14ac:dyDescent="0.25">
      <c r="B3" s="158"/>
      <c r="C3" s="104"/>
      <c r="D3" s="219" t="s">
        <v>263</v>
      </c>
      <c r="E3" s="219"/>
      <c r="F3" s="219"/>
      <c r="G3" s="220"/>
      <c r="H3" s="71" t="s">
        <v>447</v>
      </c>
    </row>
    <row r="4" spans="2:8" ht="17.25" customHeight="1" thickBot="1" x14ac:dyDescent="0.3">
      <c r="B4" s="160"/>
      <c r="C4" s="103"/>
      <c r="D4" s="221"/>
      <c r="E4" s="221"/>
      <c r="F4" s="221"/>
      <c r="G4" s="222"/>
      <c r="H4" s="72" t="s">
        <v>451</v>
      </c>
    </row>
    <row r="5" spans="2:8" s="73" customFormat="1" ht="31.5" customHeight="1" x14ac:dyDescent="0.25">
      <c r="B5" s="108" t="s">
        <v>264</v>
      </c>
      <c r="C5" s="227" t="s">
        <v>265</v>
      </c>
      <c r="D5" s="228"/>
      <c r="E5" s="109" t="s">
        <v>266</v>
      </c>
      <c r="F5" s="109" t="s">
        <v>267</v>
      </c>
      <c r="G5" s="109" t="s">
        <v>266</v>
      </c>
      <c r="H5" s="110" t="s">
        <v>268</v>
      </c>
    </row>
    <row r="6" spans="2:8" s="73" customFormat="1" ht="31.5" customHeight="1" x14ac:dyDescent="0.25">
      <c r="B6" s="116"/>
      <c r="C6" s="213" t="s">
        <v>278</v>
      </c>
      <c r="D6" s="213"/>
      <c r="E6" s="111" t="s">
        <v>279</v>
      </c>
      <c r="F6" s="112" t="s">
        <v>309</v>
      </c>
      <c r="G6" s="113" t="s">
        <v>310</v>
      </c>
      <c r="H6" s="117"/>
    </row>
    <row r="7" spans="2:8" s="73" customFormat="1" ht="31.5" customHeight="1" x14ac:dyDescent="0.25">
      <c r="B7" s="116"/>
      <c r="C7" s="214" t="s">
        <v>302</v>
      </c>
      <c r="D7" s="214"/>
      <c r="E7" s="113" t="s">
        <v>303</v>
      </c>
      <c r="F7" s="114" t="s">
        <v>516</v>
      </c>
      <c r="G7" s="113" t="s">
        <v>515</v>
      </c>
      <c r="H7" s="117"/>
    </row>
    <row r="8" spans="2:8" ht="24.75" customHeight="1" x14ac:dyDescent="0.25">
      <c r="B8" s="106"/>
      <c r="C8" s="229" t="s">
        <v>309</v>
      </c>
      <c r="D8" s="229"/>
      <c r="E8" s="113" t="s">
        <v>310</v>
      </c>
      <c r="F8" s="13" t="s">
        <v>278</v>
      </c>
      <c r="G8" s="75" t="s">
        <v>279</v>
      </c>
      <c r="H8" s="118"/>
    </row>
    <row r="9" spans="2:8" ht="24.75" customHeight="1" x14ac:dyDescent="0.25">
      <c r="B9" s="106"/>
      <c r="C9" s="229" t="s">
        <v>365</v>
      </c>
      <c r="D9" s="229"/>
      <c r="E9" s="113" t="s">
        <v>366</v>
      </c>
      <c r="F9" s="13"/>
      <c r="G9" s="75"/>
      <c r="H9" s="118"/>
    </row>
    <row r="10" spans="2:8" ht="24.75" customHeight="1" x14ac:dyDescent="0.25">
      <c r="B10" s="106"/>
      <c r="C10" s="229" t="s">
        <v>452</v>
      </c>
      <c r="D10" s="229"/>
      <c r="E10" s="115" t="s">
        <v>453</v>
      </c>
      <c r="F10" s="13"/>
      <c r="G10" s="75"/>
      <c r="H10" s="118"/>
    </row>
    <row r="11" spans="2:8" ht="24.75" customHeight="1" x14ac:dyDescent="0.25">
      <c r="B11" s="106"/>
      <c r="C11" s="229" t="s">
        <v>454</v>
      </c>
      <c r="D11" s="229"/>
      <c r="E11" s="115" t="s">
        <v>455</v>
      </c>
      <c r="F11" s="13"/>
      <c r="G11" s="75"/>
      <c r="H11" s="118"/>
    </row>
    <row r="12" spans="2:8" ht="24.75" customHeight="1" x14ac:dyDescent="0.25">
      <c r="B12" s="67"/>
      <c r="C12" s="229" t="s">
        <v>458</v>
      </c>
      <c r="D12" s="229"/>
      <c r="E12" s="115" t="s">
        <v>459</v>
      </c>
      <c r="F12" s="13"/>
      <c r="G12" s="75"/>
      <c r="H12" s="118"/>
    </row>
    <row r="13" spans="2:8" ht="24.75" customHeight="1" thickBot="1" x14ac:dyDescent="0.3">
      <c r="B13" s="67"/>
      <c r="C13" s="229" t="s">
        <v>492</v>
      </c>
      <c r="D13" s="229"/>
      <c r="E13" s="113" t="s">
        <v>513</v>
      </c>
      <c r="F13" s="14"/>
      <c r="G13" s="13"/>
      <c r="H13" s="118"/>
    </row>
    <row r="14" spans="2:8" ht="24.75" customHeight="1" x14ac:dyDescent="0.25">
      <c r="B14" s="67"/>
      <c r="C14" s="230" t="s">
        <v>519</v>
      </c>
      <c r="D14" s="231"/>
      <c r="E14" s="252" t="s">
        <v>521</v>
      </c>
      <c r="F14" s="14"/>
      <c r="G14" s="13"/>
      <c r="H14" s="107"/>
    </row>
    <row r="15" spans="2:8" ht="24.75" customHeight="1" x14ac:dyDescent="0.25">
      <c r="B15" s="67"/>
      <c r="C15" s="215"/>
      <c r="D15" s="216"/>
      <c r="E15" s="75"/>
      <c r="F15" s="13"/>
      <c r="G15" s="13"/>
      <c r="H15" s="76"/>
    </row>
    <row r="16" spans="2:8" ht="24.75" customHeight="1" x14ac:dyDescent="0.25">
      <c r="B16" s="67"/>
      <c r="C16" s="215"/>
      <c r="D16" s="216"/>
      <c r="E16" s="75"/>
      <c r="F16" s="13"/>
      <c r="G16" s="13"/>
      <c r="H16" s="76"/>
    </row>
    <row r="17" spans="2:8" ht="24.75" customHeight="1" x14ac:dyDescent="0.25">
      <c r="B17" s="67"/>
      <c r="C17" s="215"/>
      <c r="D17" s="216"/>
      <c r="E17" s="75"/>
      <c r="F17" s="14"/>
      <c r="G17" s="13"/>
      <c r="H17" s="76"/>
    </row>
    <row r="18" spans="2:8" ht="24.75" customHeight="1" x14ac:dyDescent="0.25">
      <c r="B18" s="67"/>
      <c r="C18" s="215"/>
      <c r="D18" s="216"/>
      <c r="E18" s="75"/>
      <c r="F18" s="74"/>
      <c r="G18" s="13"/>
      <c r="H18" s="76"/>
    </row>
    <row r="19" spans="2:8" ht="24.75" customHeight="1" x14ac:dyDescent="0.25">
      <c r="B19" s="67"/>
      <c r="C19" s="215"/>
      <c r="D19" s="216"/>
      <c r="E19" s="75"/>
      <c r="F19" s="13"/>
      <c r="G19" s="13"/>
      <c r="H19" s="76"/>
    </row>
    <row r="20" spans="2:8" ht="23.25" customHeight="1" x14ac:dyDescent="0.25">
      <c r="B20" s="67"/>
      <c r="C20" s="215"/>
      <c r="D20" s="216"/>
      <c r="E20" s="75"/>
      <c r="F20" s="77"/>
      <c r="G20" s="13"/>
      <c r="H20" s="76"/>
    </row>
    <row r="21" spans="2:8" ht="23.25" customHeight="1" x14ac:dyDescent="0.25">
      <c r="B21" s="67"/>
      <c r="C21" s="215"/>
      <c r="D21" s="216"/>
      <c r="E21" s="75"/>
      <c r="F21" s="77"/>
      <c r="G21" s="13"/>
      <c r="H21" s="76"/>
    </row>
    <row r="22" spans="2:8" ht="23.25" customHeight="1" x14ac:dyDescent="0.25">
      <c r="B22" s="67"/>
      <c r="C22" s="215"/>
      <c r="D22" s="216"/>
      <c r="E22" s="75"/>
      <c r="F22" s="77"/>
      <c r="G22" s="13"/>
      <c r="H22" s="76"/>
    </row>
    <row r="23" spans="2:8" ht="23.25" customHeight="1" x14ac:dyDescent="0.25">
      <c r="B23" s="67"/>
      <c r="C23" s="215"/>
      <c r="D23" s="216"/>
      <c r="E23" s="75"/>
      <c r="F23" s="77"/>
      <c r="G23" s="13"/>
      <c r="H23" s="76"/>
    </row>
    <row r="24" spans="2:8" ht="23.25" customHeight="1" x14ac:dyDescent="0.25">
      <c r="B24" s="67"/>
      <c r="C24" s="215"/>
      <c r="D24" s="216"/>
      <c r="E24" s="75"/>
      <c r="F24" s="77"/>
      <c r="G24" s="13"/>
      <c r="H24" s="76"/>
    </row>
    <row r="25" spans="2:8" ht="23.25" customHeight="1" x14ac:dyDescent="0.25">
      <c r="B25" s="67"/>
      <c r="C25" s="215"/>
      <c r="D25" s="216"/>
      <c r="E25" s="75"/>
      <c r="F25" s="77"/>
      <c r="G25" s="13"/>
      <c r="H25" s="76"/>
    </row>
    <row r="26" spans="2:8" ht="23.25" customHeight="1" x14ac:dyDescent="0.25">
      <c r="B26" s="67"/>
      <c r="C26" s="215"/>
      <c r="D26" s="216"/>
      <c r="E26" s="75"/>
      <c r="F26" s="77"/>
      <c r="G26" s="13"/>
      <c r="H26" s="76"/>
    </row>
    <row r="27" spans="2:8" ht="23.25" customHeight="1" x14ac:dyDescent="0.25">
      <c r="B27" s="67"/>
      <c r="C27" s="215"/>
      <c r="D27" s="216"/>
      <c r="E27" s="75"/>
      <c r="F27" s="13"/>
      <c r="G27" s="13"/>
      <c r="H27" s="76"/>
    </row>
    <row r="28" spans="2:8" ht="23.25" customHeight="1" x14ac:dyDescent="0.25">
      <c r="B28" s="67"/>
      <c r="C28" s="215"/>
      <c r="D28" s="216"/>
      <c r="E28" s="75"/>
      <c r="F28" s="13"/>
      <c r="G28" s="13"/>
      <c r="H28" s="76"/>
    </row>
    <row r="29" spans="2:8" x14ac:dyDescent="0.25">
      <c r="B29" s="67"/>
      <c r="C29" s="215"/>
      <c r="D29" s="216"/>
      <c r="E29" s="75"/>
      <c r="F29" s="13"/>
      <c r="G29" s="13"/>
      <c r="H29" s="76"/>
    </row>
    <row r="30" spans="2:8" x14ac:dyDescent="0.25">
      <c r="B30" s="67"/>
      <c r="C30" s="215"/>
      <c r="D30" s="216"/>
      <c r="E30" s="75"/>
      <c r="F30" s="13"/>
      <c r="G30" s="13"/>
      <c r="H30" s="76"/>
    </row>
    <row r="31" spans="2:8" x14ac:dyDescent="0.25">
      <c r="B31" s="67"/>
      <c r="C31" s="215"/>
      <c r="D31" s="216"/>
      <c r="E31" s="75"/>
      <c r="F31" s="13"/>
      <c r="G31" s="13"/>
      <c r="H31" s="76"/>
    </row>
    <row r="32" spans="2:8" x14ac:dyDescent="0.25">
      <c r="B32" s="67"/>
      <c r="C32" s="215"/>
      <c r="D32" s="216"/>
      <c r="E32" s="75"/>
      <c r="F32" s="13"/>
      <c r="G32" s="75"/>
      <c r="H32" s="76"/>
    </row>
    <row r="33" spans="2:8" x14ac:dyDescent="0.25">
      <c r="B33" s="67"/>
      <c r="C33" s="215"/>
      <c r="D33" s="216"/>
      <c r="E33" s="75"/>
      <c r="F33" s="13"/>
      <c r="G33" s="75"/>
      <c r="H33" s="76"/>
    </row>
    <row r="34" spans="2:8" x14ac:dyDescent="0.25">
      <c r="B34" s="67"/>
      <c r="C34" s="215"/>
      <c r="D34" s="216"/>
      <c r="E34" s="75"/>
      <c r="F34" s="13"/>
      <c r="G34" s="75"/>
      <c r="H34" s="76"/>
    </row>
    <row r="35" spans="2:8" x14ac:dyDescent="0.25">
      <c r="B35" s="67"/>
      <c r="C35" s="215"/>
      <c r="D35" s="216"/>
      <c r="E35" s="75"/>
      <c r="F35" s="13"/>
      <c r="G35" s="75"/>
      <c r="H35" s="76"/>
    </row>
    <row r="36" spans="2:8" x14ac:dyDescent="0.25">
      <c r="B36" s="67"/>
      <c r="C36" s="215"/>
      <c r="D36" s="216"/>
      <c r="E36" s="75"/>
      <c r="F36" s="13"/>
      <c r="G36" s="13"/>
      <c r="H36" s="76"/>
    </row>
    <row r="37" spans="2:8" x14ac:dyDescent="0.25">
      <c r="B37" s="67"/>
      <c r="C37" s="215"/>
      <c r="D37" s="216"/>
      <c r="E37" s="75"/>
      <c r="F37" s="13"/>
      <c r="G37" s="75"/>
      <c r="H37" s="76"/>
    </row>
    <row r="38" spans="2:8" x14ac:dyDescent="0.25">
      <c r="B38" s="67"/>
      <c r="C38" s="215"/>
      <c r="D38" s="216"/>
      <c r="E38" s="75"/>
      <c r="F38" s="13"/>
      <c r="G38" s="75"/>
      <c r="H38" s="76"/>
    </row>
    <row r="39" spans="2:8" x14ac:dyDescent="0.25">
      <c r="B39" s="67"/>
      <c r="C39" s="215"/>
      <c r="D39" s="216"/>
      <c r="E39" s="75"/>
      <c r="F39" s="77"/>
      <c r="G39" s="13"/>
      <c r="H39" s="76"/>
    </row>
    <row r="40" spans="2:8" x14ac:dyDescent="0.25">
      <c r="B40" s="67"/>
      <c r="C40" s="215"/>
      <c r="D40" s="216"/>
      <c r="E40" s="75"/>
      <c r="F40" s="77"/>
      <c r="G40" s="13"/>
      <c r="H40" s="76"/>
    </row>
    <row r="41" spans="2:8" x14ac:dyDescent="0.25">
      <c r="B41" s="67"/>
      <c r="C41" s="215"/>
      <c r="D41" s="216"/>
      <c r="E41" s="75"/>
      <c r="F41" s="77"/>
      <c r="G41" s="13"/>
      <c r="H41" s="76"/>
    </row>
    <row r="42" spans="2:8" x14ac:dyDescent="0.25">
      <c r="B42" s="67"/>
      <c r="C42" s="215"/>
      <c r="D42" s="216"/>
      <c r="E42" s="75"/>
      <c r="F42" s="77"/>
      <c r="G42" s="13"/>
      <c r="H42" s="76"/>
    </row>
    <row r="43" spans="2:8" x14ac:dyDescent="0.25">
      <c r="B43" s="67"/>
      <c r="C43" s="215"/>
      <c r="D43" s="216"/>
      <c r="E43" s="75"/>
      <c r="F43" s="77"/>
      <c r="G43" s="13"/>
      <c r="H43" s="76"/>
    </row>
    <row r="44" spans="2:8" x14ac:dyDescent="0.25">
      <c r="B44" s="67"/>
      <c r="C44" s="215"/>
      <c r="D44" s="216"/>
      <c r="E44" s="75"/>
      <c r="F44" s="77"/>
      <c r="G44" s="13"/>
      <c r="H44" s="76"/>
    </row>
    <row r="45" spans="2:8" x14ac:dyDescent="0.25">
      <c r="B45" s="67"/>
      <c r="C45" s="215"/>
      <c r="D45" s="216"/>
      <c r="E45" s="75"/>
      <c r="F45" s="77"/>
      <c r="G45" s="13"/>
      <c r="H45" s="76"/>
    </row>
    <row r="46" spans="2:8" x14ac:dyDescent="0.25">
      <c r="B46" s="67"/>
      <c r="C46" s="215"/>
      <c r="D46" s="216"/>
      <c r="E46" s="75"/>
      <c r="F46" s="77"/>
      <c r="G46" s="13"/>
      <c r="H46" s="76"/>
    </row>
    <row r="47" spans="2:8" x14ac:dyDescent="0.25">
      <c r="B47" s="67"/>
      <c r="C47" s="215"/>
      <c r="D47" s="216"/>
      <c r="E47" s="75"/>
      <c r="F47" s="77"/>
      <c r="G47" s="13"/>
      <c r="H47" s="76"/>
    </row>
    <row r="48" spans="2:8" x14ac:dyDescent="0.25">
      <c r="B48" s="67"/>
      <c r="C48" s="215"/>
      <c r="D48" s="216"/>
      <c r="E48" s="75"/>
      <c r="F48" s="77"/>
      <c r="G48" s="13"/>
      <c r="H48" s="76"/>
    </row>
    <row r="49" spans="2:8" x14ac:dyDescent="0.25">
      <c r="B49" s="67"/>
      <c r="C49" s="215"/>
      <c r="D49" s="216"/>
      <c r="E49" s="75"/>
      <c r="F49" s="77"/>
      <c r="G49" s="13"/>
      <c r="H49" s="76"/>
    </row>
    <row r="50" spans="2:8" x14ac:dyDescent="0.25">
      <c r="B50" s="67"/>
      <c r="C50" s="215"/>
      <c r="D50" s="216"/>
      <c r="E50" s="75"/>
      <c r="F50" s="13"/>
      <c r="G50" s="75"/>
      <c r="H50" s="76"/>
    </row>
    <row r="51" spans="2:8" x14ac:dyDescent="0.25">
      <c r="B51" s="67"/>
      <c r="C51" s="215"/>
      <c r="D51" s="216"/>
      <c r="E51" s="75"/>
      <c r="F51" s="13"/>
      <c r="G51" s="75"/>
      <c r="H51" s="76"/>
    </row>
    <row r="52" spans="2:8" x14ac:dyDescent="0.25">
      <c r="B52" s="67"/>
      <c r="C52" s="215"/>
      <c r="D52" s="216"/>
      <c r="E52" s="75"/>
      <c r="F52" s="13"/>
      <c r="G52" s="75"/>
      <c r="H52" s="76"/>
    </row>
    <row r="53" spans="2:8" x14ac:dyDescent="0.25">
      <c r="B53" s="67"/>
      <c r="C53" s="215"/>
      <c r="D53" s="216"/>
      <c r="E53" s="75"/>
      <c r="F53" s="13"/>
      <c r="G53" s="75"/>
      <c r="H53" s="76"/>
    </row>
    <row r="54" spans="2:8" x14ac:dyDescent="0.25">
      <c r="B54" s="67"/>
      <c r="C54" s="215"/>
      <c r="D54" s="216"/>
      <c r="E54" s="75"/>
      <c r="F54" s="13"/>
      <c r="G54" s="75"/>
      <c r="H54" s="76"/>
    </row>
    <row r="55" spans="2:8" x14ac:dyDescent="0.25">
      <c r="B55" s="67"/>
      <c r="C55" s="215"/>
      <c r="D55" s="216"/>
      <c r="E55" s="75"/>
      <c r="F55" s="77"/>
      <c r="G55" s="13"/>
      <c r="H55" s="76"/>
    </row>
    <row r="56" spans="2:8" x14ac:dyDescent="0.25">
      <c r="B56" s="67"/>
      <c r="C56" s="215"/>
      <c r="D56" s="216"/>
      <c r="E56" s="75"/>
      <c r="F56" s="77"/>
      <c r="G56" s="13"/>
      <c r="H56" s="76"/>
    </row>
    <row r="57" spans="2:8" x14ac:dyDescent="0.25">
      <c r="B57" s="67"/>
      <c r="C57" s="215"/>
      <c r="D57" s="216"/>
      <c r="E57" s="75"/>
      <c r="F57" s="77"/>
      <c r="G57" s="13"/>
      <c r="H57" s="76"/>
    </row>
    <row r="58" spans="2:8" x14ac:dyDescent="0.25">
      <c r="B58" s="67"/>
      <c r="C58" s="215"/>
      <c r="D58" s="216"/>
      <c r="E58" s="75"/>
      <c r="F58" s="13"/>
      <c r="G58" s="75"/>
      <c r="H58" s="76"/>
    </row>
    <row r="59" spans="2:8" x14ac:dyDescent="0.25">
      <c r="B59" s="67"/>
      <c r="C59" s="215"/>
      <c r="D59" s="216"/>
      <c r="E59" s="75"/>
      <c r="F59" s="13"/>
      <c r="G59" s="75"/>
      <c r="H59" s="76"/>
    </row>
    <row r="60" spans="2:8" x14ac:dyDescent="0.25">
      <c r="B60" s="67"/>
      <c r="C60" s="215"/>
      <c r="D60" s="216"/>
      <c r="E60" s="75"/>
      <c r="F60" s="13"/>
      <c r="G60" s="75"/>
      <c r="H60" s="76"/>
    </row>
    <row r="61" spans="2:8" x14ac:dyDescent="0.25">
      <c r="B61" s="67"/>
      <c r="C61" s="215"/>
      <c r="D61" s="216"/>
      <c r="E61" s="75"/>
      <c r="F61" s="13"/>
      <c r="G61" s="75"/>
      <c r="H61" s="76"/>
    </row>
    <row r="62" spans="2:8" x14ac:dyDescent="0.25">
      <c r="B62" s="67"/>
      <c r="C62" s="215"/>
      <c r="D62" s="216"/>
      <c r="E62" s="75"/>
      <c r="F62" s="13"/>
      <c r="G62" s="75"/>
      <c r="H62" s="76"/>
    </row>
    <row r="63" spans="2:8" x14ac:dyDescent="0.25">
      <c r="B63" s="67"/>
      <c r="C63" s="215"/>
      <c r="D63" s="216"/>
      <c r="E63" s="75"/>
      <c r="F63" s="13"/>
      <c r="G63" s="75"/>
      <c r="H63" s="76"/>
    </row>
    <row r="64" spans="2:8" x14ac:dyDescent="0.25">
      <c r="B64" s="67"/>
      <c r="C64" s="215"/>
      <c r="D64" s="216"/>
      <c r="E64" s="75"/>
      <c r="F64" s="13"/>
      <c r="G64" s="75"/>
      <c r="H64" s="76"/>
    </row>
    <row r="65" spans="2:8" ht="15.75" thickBot="1" x14ac:dyDescent="0.3">
      <c r="B65" s="67"/>
      <c r="C65" s="215"/>
      <c r="D65" s="216"/>
      <c r="E65" s="75"/>
      <c r="F65" s="77"/>
      <c r="G65" s="13"/>
      <c r="H65" s="76"/>
    </row>
    <row r="66" spans="2:8" s="78" customFormat="1" ht="40.5" customHeight="1" thickBot="1" x14ac:dyDescent="0.45">
      <c r="B66" s="223" t="s">
        <v>449</v>
      </c>
      <c r="C66" s="224"/>
      <c r="D66" s="225"/>
      <c r="E66" s="226"/>
      <c r="F66" s="223" t="s">
        <v>450</v>
      </c>
      <c r="G66" s="225"/>
      <c r="H66" s="226"/>
    </row>
  </sheetData>
  <mergeCells count="66">
    <mergeCell ref="B2:B4"/>
    <mergeCell ref="D2:G2"/>
    <mergeCell ref="D3:G4"/>
    <mergeCell ref="B66:E66"/>
    <mergeCell ref="F66:H66"/>
    <mergeCell ref="C5:D5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6:D6"/>
    <mergeCell ref="C7:D7"/>
    <mergeCell ref="C63:D63"/>
    <mergeCell ref="C64:D64"/>
    <mergeCell ref="C65:D65"/>
    <mergeCell ref="C58:D58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48:D4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</vt:lpstr>
      <vt:lpstr>ابراهیمی</vt:lpstr>
      <vt:lpstr>تجهیزات کلیدی بر اساس کارنامه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hanie ebrahimi</dc:creator>
  <cp:lastModifiedBy>t7.et7</cp:lastModifiedBy>
  <cp:lastPrinted>2025-01-26T07:19:49Z</cp:lastPrinted>
  <dcterms:created xsi:type="dcterms:W3CDTF">2023-10-15T08:20:34Z</dcterms:created>
  <dcterms:modified xsi:type="dcterms:W3CDTF">2026-09-12T06:45:12Z</dcterms:modified>
</cp:coreProperties>
</file>